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ckova\Desktop\SFDI 2025 FINAL\CB_dotazy a doplnění\"/>
    </mc:Choice>
  </mc:AlternateContent>
  <xr:revisionPtr revIDLastSave="0" documentId="13_ncr:1_{3DA31DFE-F11E-4D43-B783-E89F8B044EFD}" xr6:coauthVersionLast="47" xr6:coauthVersionMax="47" xr10:uidLastSave="{00000000-0000-0000-0000-000000000000}"/>
  <bookViews>
    <workbookView xWindow="5580" yWindow="435" windowWidth="18675" windowHeight="13170" xr2:uid="{00000000-000D-0000-FFFF-FFFF00000000}"/>
  </bookViews>
  <sheets>
    <sheet name="Rekapitulace stavby" sheetId="1" r:id="rId1"/>
    <sheet name="SO101 - Oprava silniceII-..." sheetId="2" r:id="rId2"/>
    <sheet name="SO102 - DIO" sheetId="3" r:id="rId3"/>
    <sheet name="SO103 - Doplňující údaje " sheetId="4" r:id="rId4"/>
  </sheets>
  <definedNames>
    <definedName name="_xlnm._FilterDatabase" localSheetId="1" hidden="1">'SO101 - Oprava silniceII-...'!$C$121:$K$329</definedName>
    <definedName name="_xlnm._FilterDatabase" localSheetId="2" hidden="1">'SO102 - DIO'!$C$118:$K$227</definedName>
    <definedName name="_xlnm._FilterDatabase" localSheetId="3" hidden="1">'SO103 - Doplňující údaje '!$C$116:$K$130</definedName>
    <definedName name="_xlnm.Print_Titles" localSheetId="0">'Rekapitulace stavby'!$92:$92</definedName>
    <definedName name="_xlnm.Print_Titles" localSheetId="1">'SO101 - Oprava silniceII-...'!$121:$121</definedName>
    <definedName name="_xlnm.Print_Titles" localSheetId="2">'SO102 - DIO'!$118:$118</definedName>
    <definedName name="_xlnm.Print_Titles" localSheetId="3">'SO103 - Doplňující údaje '!$116:$116</definedName>
    <definedName name="_xlnm.Print_Area" localSheetId="0">'Rekapitulace stavby'!$D$4:$AO$76,'Rekapitulace stavby'!$C$82:$AQ$98</definedName>
    <definedName name="_xlnm.Print_Area" localSheetId="1">'SO101 - Oprava silniceII-...'!$C$4:$J$76,'SO101 - Oprava silniceII-...'!$C$82:$J$103,'SO101 - Oprava silniceII-...'!$C$109:$K$329</definedName>
    <definedName name="_xlnm.Print_Area" localSheetId="2">'SO102 - DIO'!$C$4:$J$76,'SO102 - DIO'!$C$82:$J$100,'SO102 - DIO'!$C$106:$K$227</definedName>
    <definedName name="_xlnm.Print_Area" localSheetId="3">'SO103 - Doplňující údaje '!$C$4:$J$76,'SO103 - Doplňující údaje '!$C$82:$J$98,'SO103 - Doplňující údaje '!$C$104:$K$130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4" l="1"/>
  <c r="J36" i="4"/>
  <c r="AY97" i="1" s="1"/>
  <c r="J35" i="4"/>
  <c r="AX97" i="1" s="1"/>
  <c r="BI125" i="4"/>
  <c r="BH125" i="4"/>
  <c r="BG125" i="4"/>
  <c r="BF125" i="4"/>
  <c r="T125" i="4"/>
  <c r="T118" i="4"/>
  <c r="T117" i="4"/>
  <c r="R125" i="4"/>
  <c r="R118" i="4"/>
  <c r="R117" i="4"/>
  <c r="P125" i="4"/>
  <c r="BI119" i="4"/>
  <c r="BH119" i="4"/>
  <c r="F36" i="4" s="1"/>
  <c r="BC97" i="1" s="1"/>
  <c r="BG119" i="4"/>
  <c r="BF119" i="4"/>
  <c r="T119" i="4"/>
  <c r="R119" i="4"/>
  <c r="P119" i="4"/>
  <c r="P118" i="4" s="1"/>
  <c r="P117" i="4" s="1"/>
  <c r="AU97" i="1" s="1"/>
  <c r="J114" i="4"/>
  <c r="J113" i="4"/>
  <c r="F113" i="4"/>
  <c r="F111" i="4"/>
  <c r="E109" i="4"/>
  <c r="J92" i="4"/>
  <c r="J91" i="4"/>
  <c r="F91" i="4"/>
  <c r="F89" i="4"/>
  <c r="E87" i="4"/>
  <c r="J18" i="4"/>
  <c r="E18" i="4"/>
  <c r="F114" i="4"/>
  <c r="J17" i="4"/>
  <c r="J12" i="4"/>
  <c r="J111" i="4" s="1"/>
  <c r="E7" i="4"/>
  <c r="E107" i="4"/>
  <c r="J37" i="3"/>
  <c r="J36" i="3"/>
  <c r="AY96" i="1"/>
  <c r="J35" i="3"/>
  <c r="AX96" i="1"/>
  <c r="BI219" i="3"/>
  <c r="BH219" i="3"/>
  <c r="BG219" i="3"/>
  <c r="BF219" i="3"/>
  <c r="T219" i="3"/>
  <c r="T218" i="3"/>
  <c r="R219" i="3"/>
  <c r="R218" i="3"/>
  <c r="P219" i="3"/>
  <c r="P218" i="3"/>
  <c r="BI212" i="3"/>
  <c r="BH212" i="3"/>
  <c r="BG212" i="3"/>
  <c r="BF212" i="3"/>
  <c r="T212" i="3"/>
  <c r="R212" i="3"/>
  <c r="P212" i="3"/>
  <c r="BI207" i="3"/>
  <c r="BH207" i="3"/>
  <c r="BG207" i="3"/>
  <c r="BF207" i="3"/>
  <c r="T207" i="3"/>
  <c r="R207" i="3"/>
  <c r="P207" i="3"/>
  <c r="BI202" i="3"/>
  <c r="BH202" i="3"/>
  <c r="BG202" i="3"/>
  <c r="BF202" i="3"/>
  <c r="T202" i="3"/>
  <c r="R202" i="3"/>
  <c r="P202" i="3"/>
  <c r="BI196" i="3"/>
  <c r="BH196" i="3"/>
  <c r="BG196" i="3"/>
  <c r="BF196" i="3"/>
  <c r="T196" i="3"/>
  <c r="R196" i="3"/>
  <c r="P196" i="3"/>
  <c r="BI191" i="3"/>
  <c r="BH191" i="3"/>
  <c r="BG191" i="3"/>
  <c r="BF191" i="3"/>
  <c r="T191" i="3"/>
  <c r="R191" i="3"/>
  <c r="P191" i="3"/>
  <c r="BI186" i="3"/>
  <c r="BH186" i="3"/>
  <c r="BG186" i="3"/>
  <c r="BF186" i="3"/>
  <c r="T186" i="3"/>
  <c r="R186" i="3"/>
  <c r="P186" i="3"/>
  <c r="BI180" i="3"/>
  <c r="BH180" i="3"/>
  <c r="BG180" i="3"/>
  <c r="BF180" i="3"/>
  <c r="T180" i="3"/>
  <c r="R180" i="3"/>
  <c r="P180" i="3"/>
  <c r="BI175" i="3"/>
  <c r="BH175" i="3"/>
  <c r="BG175" i="3"/>
  <c r="BF175" i="3"/>
  <c r="T175" i="3"/>
  <c r="R175" i="3"/>
  <c r="P175" i="3"/>
  <c r="BI170" i="3"/>
  <c r="BH170" i="3"/>
  <c r="BG170" i="3"/>
  <c r="BF170" i="3"/>
  <c r="T170" i="3"/>
  <c r="R170" i="3"/>
  <c r="P170" i="3"/>
  <c r="BI164" i="3"/>
  <c r="BH164" i="3"/>
  <c r="BG164" i="3"/>
  <c r="BF164" i="3"/>
  <c r="T164" i="3"/>
  <c r="R164" i="3"/>
  <c r="P164" i="3"/>
  <c r="BI159" i="3"/>
  <c r="BH159" i="3"/>
  <c r="BG159" i="3"/>
  <c r="BF159" i="3"/>
  <c r="T159" i="3"/>
  <c r="R159" i="3"/>
  <c r="P159" i="3"/>
  <c r="BI154" i="3"/>
  <c r="BH154" i="3"/>
  <c r="BG154" i="3"/>
  <c r="BF154" i="3"/>
  <c r="T154" i="3"/>
  <c r="R154" i="3"/>
  <c r="P154" i="3"/>
  <c r="BI148" i="3"/>
  <c r="BH148" i="3"/>
  <c r="BG148" i="3"/>
  <c r="BF148" i="3"/>
  <c r="T148" i="3"/>
  <c r="R148" i="3"/>
  <c r="P148" i="3"/>
  <c r="BI143" i="3"/>
  <c r="BH143" i="3"/>
  <c r="BG143" i="3"/>
  <c r="BF143" i="3"/>
  <c r="T143" i="3"/>
  <c r="R143" i="3"/>
  <c r="P143" i="3"/>
  <c r="BI138" i="3"/>
  <c r="BH138" i="3"/>
  <c r="BG138" i="3"/>
  <c r="BF138" i="3"/>
  <c r="T138" i="3"/>
  <c r="R138" i="3"/>
  <c r="P138" i="3"/>
  <c r="BI132" i="3"/>
  <c r="BH132" i="3"/>
  <c r="BG132" i="3"/>
  <c r="BF132" i="3"/>
  <c r="T132" i="3"/>
  <c r="R132" i="3"/>
  <c r="P132" i="3"/>
  <c r="BI127" i="3"/>
  <c r="BH127" i="3"/>
  <c r="BG127" i="3"/>
  <c r="BF127" i="3"/>
  <c r="T127" i="3"/>
  <c r="R127" i="3"/>
  <c r="P127" i="3"/>
  <c r="BI122" i="3"/>
  <c r="BH122" i="3"/>
  <c r="BG122" i="3"/>
  <c r="BF122" i="3"/>
  <c r="T122" i="3"/>
  <c r="R122" i="3"/>
  <c r="P122" i="3"/>
  <c r="J116" i="3"/>
  <c r="J115" i="3"/>
  <c r="F115" i="3"/>
  <c r="F113" i="3"/>
  <c r="E111" i="3"/>
  <c r="J92" i="3"/>
  <c r="J91" i="3"/>
  <c r="F91" i="3"/>
  <c r="F89" i="3"/>
  <c r="E87" i="3"/>
  <c r="J18" i="3"/>
  <c r="E18" i="3"/>
  <c r="F92" i="3"/>
  <c r="J17" i="3"/>
  <c r="J12" i="3"/>
  <c r="J113" i="3"/>
  <c r="E7" i="3"/>
  <c r="E85" i="3"/>
  <c r="J37" i="2"/>
  <c r="J36" i="2"/>
  <c r="AY95" i="1"/>
  <c r="J35" i="2"/>
  <c r="AX95" i="1" s="1"/>
  <c r="BI319" i="2"/>
  <c r="BH319" i="2"/>
  <c r="BG319" i="2"/>
  <c r="BF319" i="2"/>
  <c r="T319" i="2"/>
  <c r="T318" i="2"/>
  <c r="R319" i="2"/>
  <c r="R318" i="2"/>
  <c r="P319" i="2"/>
  <c r="P318" i="2"/>
  <c r="BI312" i="2"/>
  <c r="BH312" i="2"/>
  <c r="BG312" i="2"/>
  <c r="BF312" i="2"/>
  <c r="T312" i="2"/>
  <c r="R312" i="2"/>
  <c r="P312" i="2"/>
  <c r="BI301" i="2"/>
  <c r="BH301" i="2"/>
  <c r="BG301" i="2"/>
  <c r="BF301" i="2"/>
  <c r="T301" i="2"/>
  <c r="R301" i="2"/>
  <c r="P301" i="2"/>
  <c r="BI296" i="2"/>
  <c r="BH296" i="2"/>
  <c r="BG296" i="2"/>
  <c r="BF296" i="2"/>
  <c r="T296" i="2"/>
  <c r="R296" i="2"/>
  <c r="P296" i="2"/>
  <c r="BI291" i="2"/>
  <c r="BH291" i="2"/>
  <c r="BG291" i="2"/>
  <c r="BF291" i="2"/>
  <c r="T291" i="2"/>
  <c r="R291" i="2"/>
  <c r="P291" i="2"/>
  <c r="BI285" i="2"/>
  <c r="BH285" i="2"/>
  <c r="BG285" i="2"/>
  <c r="BF285" i="2"/>
  <c r="T285" i="2"/>
  <c r="R285" i="2"/>
  <c r="R273" i="2"/>
  <c r="P285" i="2"/>
  <c r="P273" i="2" s="1"/>
  <c r="BI280" i="2"/>
  <c r="BH280" i="2"/>
  <c r="BG280" i="2"/>
  <c r="BF280" i="2"/>
  <c r="T280" i="2"/>
  <c r="R280" i="2"/>
  <c r="P280" i="2"/>
  <c r="BI274" i="2"/>
  <c r="BH274" i="2"/>
  <c r="BG274" i="2"/>
  <c r="BF274" i="2"/>
  <c r="T274" i="2"/>
  <c r="T273" i="2" s="1"/>
  <c r="R274" i="2"/>
  <c r="P274" i="2"/>
  <c r="BI265" i="2"/>
  <c r="BH265" i="2"/>
  <c r="BG265" i="2"/>
  <c r="BF265" i="2"/>
  <c r="T265" i="2"/>
  <c r="R265" i="2"/>
  <c r="P265" i="2"/>
  <c r="BI255" i="2"/>
  <c r="BH255" i="2"/>
  <c r="BG255" i="2"/>
  <c r="BF255" i="2"/>
  <c r="T255" i="2"/>
  <c r="R255" i="2"/>
  <c r="P255" i="2"/>
  <c r="BI234" i="2"/>
  <c r="BH234" i="2"/>
  <c r="BG234" i="2"/>
  <c r="BF234" i="2"/>
  <c r="T234" i="2"/>
  <c r="R234" i="2"/>
  <c r="P234" i="2"/>
  <c r="BI226" i="2"/>
  <c r="BH226" i="2"/>
  <c r="BG226" i="2"/>
  <c r="BF226" i="2"/>
  <c r="T226" i="2"/>
  <c r="R226" i="2"/>
  <c r="P226" i="2"/>
  <c r="BI207" i="2"/>
  <c r="BH207" i="2"/>
  <c r="BG207" i="2"/>
  <c r="BF207" i="2"/>
  <c r="T207" i="2"/>
  <c r="R207" i="2"/>
  <c r="P207" i="2"/>
  <c r="BI197" i="2"/>
  <c r="BH197" i="2"/>
  <c r="BG197" i="2"/>
  <c r="BF197" i="2"/>
  <c r="T197" i="2"/>
  <c r="R197" i="2"/>
  <c r="P197" i="2"/>
  <c r="BI184" i="2"/>
  <c r="BH184" i="2"/>
  <c r="BG184" i="2"/>
  <c r="BF184" i="2"/>
  <c r="T184" i="2"/>
  <c r="R184" i="2"/>
  <c r="P184" i="2"/>
  <c r="BI177" i="2"/>
  <c r="BH177" i="2"/>
  <c r="BG177" i="2"/>
  <c r="BF177" i="2"/>
  <c r="T177" i="2"/>
  <c r="R177" i="2"/>
  <c r="P177" i="2"/>
  <c r="BI164" i="2"/>
  <c r="BH164" i="2"/>
  <c r="BG164" i="2"/>
  <c r="BF164" i="2"/>
  <c r="T164" i="2"/>
  <c r="R164" i="2"/>
  <c r="P164" i="2"/>
  <c r="BI157" i="2"/>
  <c r="BH157" i="2"/>
  <c r="BG157" i="2"/>
  <c r="BF157" i="2"/>
  <c r="T157" i="2"/>
  <c r="R157" i="2"/>
  <c r="P157" i="2"/>
  <c r="BI149" i="2"/>
  <c r="BH149" i="2"/>
  <c r="BG149" i="2"/>
  <c r="BF149" i="2"/>
  <c r="T149" i="2"/>
  <c r="R149" i="2"/>
  <c r="P149" i="2"/>
  <c r="BI125" i="2"/>
  <c r="BH125" i="2"/>
  <c r="BG125" i="2"/>
  <c r="BF125" i="2"/>
  <c r="T125" i="2"/>
  <c r="R125" i="2"/>
  <c r="P125" i="2"/>
  <c r="J119" i="2"/>
  <c r="J118" i="2"/>
  <c r="F118" i="2"/>
  <c r="F116" i="2"/>
  <c r="E114" i="2"/>
  <c r="J92" i="2"/>
  <c r="J91" i="2"/>
  <c r="F91" i="2"/>
  <c r="F89" i="2"/>
  <c r="E87" i="2"/>
  <c r="J18" i="2"/>
  <c r="E18" i="2"/>
  <c r="F119" i="2"/>
  <c r="J17" i="2"/>
  <c r="J12" i="2"/>
  <c r="J116" i="2"/>
  <c r="E7" i="2"/>
  <c r="E112" i="2"/>
  <c r="L90" i="1"/>
  <c r="AM90" i="1"/>
  <c r="AM89" i="1"/>
  <c r="L89" i="1"/>
  <c r="AM87" i="1"/>
  <c r="L87" i="1"/>
  <c r="L85" i="1"/>
  <c r="L84" i="1"/>
  <c r="BK138" i="3"/>
  <c r="J170" i="3"/>
  <c r="BK191" i="3"/>
  <c r="BK127" i="3"/>
  <c r="J154" i="3"/>
  <c r="J212" i="3"/>
  <c r="BK186" i="3"/>
  <c r="J180" i="3"/>
  <c r="J122" i="3"/>
  <c r="J125" i="4"/>
  <c r="BK319" i="2"/>
  <c r="J274" i="2"/>
  <c r="J226" i="2"/>
  <c r="BK296" i="2"/>
  <c r="BK164" i="2"/>
  <c r="J149" i="2"/>
  <c r="AS94" i="1"/>
  <c r="BK170" i="3"/>
  <c r="J186" i="3"/>
  <c r="BK212" i="3"/>
  <c r="J196" i="3"/>
  <c r="BK196" i="3"/>
  <c r="J119" i="4"/>
  <c r="F35" i="4"/>
  <c r="BB97" i="1"/>
  <c r="J312" i="2"/>
  <c r="J285" i="2"/>
  <c r="J255" i="2"/>
  <c r="J207" i="2"/>
  <c r="BK177" i="2"/>
  <c r="BK149" i="2"/>
  <c r="J319" i="2"/>
  <c r="BK197" i="2"/>
  <c r="J207" i="3"/>
  <c r="J164" i="3"/>
  <c r="BK202" i="3"/>
  <c r="F37" i="4"/>
  <c r="BD97" i="1"/>
  <c r="J296" i="2"/>
  <c r="J280" i="2"/>
  <c r="BK226" i="2"/>
  <c r="J197" i="2"/>
  <c r="J164" i="2"/>
  <c r="J125" i="2"/>
  <c r="BK207" i="2"/>
  <c r="BK255" i="2"/>
  <c r="BK180" i="3"/>
  <c r="J143" i="3"/>
  <c r="BK143" i="3"/>
  <c r="J138" i="3"/>
  <c r="J132" i="3"/>
  <c r="J175" i="3"/>
  <c r="BK125" i="4"/>
  <c r="BK312" i="2"/>
  <c r="BK291" i="2"/>
  <c r="BK285" i="2"/>
  <c r="BK280" i="2"/>
  <c r="J265" i="2"/>
  <c r="BK234" i="2"/>
  <c r="J234" i="2"/>
  <c r="BK301" i="2"/>
  <c r="J291" i="2"/>
  <c r="BK184" i="2"/>
  <c r="J177" i="2"/>
  <c r="BK157" i="2"/>
  <c r="J157" i="2"/>
  <c r="BK125" i="2"/>
  <c r="J301" i="2"/>
  <c r="BK274" i="2"/>
  <c r="J184" i="2"/>
  <c r="BK265" i="2"/>
  <c r="J219" i="3"/>
  <c r="J202" i="3"/>
  <c r="J159" i="3"/>
  <c r="BK154" i="3"/>
  <c r="BK148" i="3"/>
  <c r="BK122" i="3"/>
  <c r="BK175" i="3"/>
  <c r="BK219" i="3"/>
  <c r="BK159" i="3"/>
  <c r="BK207" i="3"/>
  <c r="J148" i="3"/>
  <c r="J127" i="3"/>
  <c r="J191" i="3"/>
  <c r="BK164" i="3"/>
  <c r="BK132" i="3"/>
  <c r="BK119" i="4"/>
  <c r="J34" i="4"/>
  <c r="AW97" i="1"/>
  <c r="T124" i="2" l="1"/>
  <c r="BK183" i="2"/>
  <c r="J183" i="2"/>
  <c r="J99" i="2"/>
  <c r="R290" i="2"/>
  <c r="BK121" i="3"/>
  <c r="BK120" i="3"/>
  <c r="BK119" i="3" s="1"/>
  <c r="J119" i="3" s="1"/>
  <c r="J96" i="3" s="1"/>
  <c r="J120" i="3"/>
  <c r="J97" i="3"/>
  <c r="BK124" i="2"/>
  <c r="J124" i="2" s="1"/>
  <c r="J98" i="2" s="1"/>
  <c r="T183" i="2"/>
  <c r="P290" i="2"/>
  <c r="P121" i="3"/>
  <c r="P120" i="3"/>
  <c r="P119" i="3"/>
  <c r="AU96" i="1"/>
  <c r="P124" i="2"/>
  <c r="R183" i="2"/>
  <c r="BK290" i="2"/>
  <c r="J290" i="2"/>
  <c r="J101" i="2"/>
  <c r="R121" i="3"/>
  <c r="R120" i="3"/>
  <c r="R119" i="3"/>
  <c r="R124" i="2"/>
  <c r="R123" i="2"/>
  <c r="R122" i="2"/>
  <c r="P183" i="2"/>
  <c r="T290" i="2"/>
  <c r="T121" i="3"/>
  <c r="T120" i="3"/>
  <c r="T119" i="3"/>
  <c r="BK273" i="2"/>
  <c r="J273" i="2"/>
  <c r="J100" i="2"/>
  <c r="BK318" i="2"/>
  <c r="J318" i="2" s="1"/>
  <c r="J102" i="2" s="1"/>
  <c r="BK218" i="3"/>
  <c r="J218" i="3"/>
  <c r="J99" i="3" s="1"/>
  <c r="BK118" i="4"/>
  <c r="J118" i="4"/>
  <c r="J97" i="4"/>
  <c r="J121" i="3"/>
  <c r="J98" i="3"/>
  <c r="BE119" i="4"/>
  <c r="J33" i="4" s="1"/>
  <c r="AV97" i="1" s="1"/>
  <c r="AT97" i="1" s="1"/>
  <c r="BE125" i="4"/>
  <c r="E85" i="4"/>
  <c r="J89" i="4"/>
  <c r="F92" i="4"/>
  <c r="E109" i="3"/>
  <c r="BE148" i="3"/>
  <c r="BE154" i="3"/>
  <c r="F116" i="3"/>
  <c r="BE132" i="3"/>
  <c r="BE138" i="3"/>
  <c r="BE159" i="3"/>
  <c r="BE180" i="3"/>
  <c r="BE212" i="3"/>
  <c r="BE143" i="3"/>
  <c r="BE196" i="3"/>
  <c r="BE202" i="3"/>
  <c r="BE207" i="3"/>
  <c r="J89" i="3"/>
  <c r="BE122" i="3"/>
  <c r="BE127" i="3"/>
  <c r="BE164" i="3"/>
  <c r="BE170" i="3"/>
  <c r="BE175" i="3"/>
  <c r="BE186" i="3"/>
  <c r="BE191" i="3"/>
  <c r="BE219" i="3"/>
  <c r="BE184" i="2"/>
  <c r="BE312" i="2"/>
  <c r="BE296" i="2"/>
  <c r="E85" i="2"/>
  <c r="J89" i="2"/>
  <c r="F92" i="2"/>
  <c r="BE125" i="2"/>
  <c r="BE149" i="2"/>
  <c r="BE157" i="2"/>
  <c r="BE164" i="2"/>
  <c r="BE177" i="2"/>
  <c r="BE197" i="2"/>
  <c r="BE319" i="2"/>
  <c r="BE285" i="2"/>
  <c r="BE291" i="2"/>
  <c r="BE301" i="2"/>
  <c r="BE207" i="2"/>
  <c r="BE226" i="2"/>
  <c r="BE234" i="2"/>
  <c r="BE255" i="2"/>
  <c r="BE265" i="2"/>
  <c r="BE274" i="2"/>
  <c r="BE280" i="2"/>
  <c r="F34" i="2"/>
  <c r="BA95" i="1"/>
  <c r="F36" i="3"/>
  <c r="BC96" i="1"/>
  <c r="F37" i="2"/>
  <c r="BD95" i="1"/>
  <c r="J34" i="3"/>
  <c r="AW96" i="1" s="1"/>
  <c r="F36" i="2"/>
  <c r="BC95" i="1"/>
  <c r="F35" i="3"/>
  <c r="BB96" i="1"/>
  <c r="F34" i="4"/>
  <c r="BA97" i="1"/>
  <c r="F35" i="2"/>
  <c r="BB95" i="1"/>
  <c r="F34" i="3"/>
  <c r="BA96" i="1"/>
  <c r="J34" i="2"/>
  <c r="AW95" i="1"/>
  <c r="F37" i="3"/>
  <c r="BD96" i="1"/>
  <c r="BK123" i="2" l="1"/>
  <c r="J123" i="2" s="1"/>
  <c r="J97" i="2" s="1"/>
  <c r="P123" i="2"/>
  <c r="P122" i="2"/>
  <c r="AU95" i="1"/>
  <c r="T123" i="2"/>
  <c r="T122" i="2"/>
  <c r="BK117" i="4"/>
  <c r="J117" i="4"/>
  <c r="J96" i="4"/>
  <c r="F33" i="3"/>
  <c r="AZ96" i="1"/>
  <c r="J33" i="3"/>
  <c r="AV96" i="1"/>
  <c r="AT96" i="1"/>
  <c r="BD94" i="1"/>
  <c r="W33" i="1"/>
  <c r="BB94" i="1"/>
  <c r="W31" i="1"/>
  <c r="AU94" i="1"/>
  <c r="J33" i="2"/>
  <c r="AV95" i="1"/>
  <c r="AT95" i="1"/>
  <c r="J30" i="3"/>
  <c r="AG96" i="1" s="1"/>
  <c r="BC94" i="1"/>
  <c r="AY94" i="1"/>
  <c r="F33" i="4"/>
  <c r="AZ97" i="1"/>
  <c r="BA94" i="1"/>
  <c r="W30" i="1"/>
  <c r="F33" i="2"/>
  <c r="AZ95" i="1"/>
  <c r="BK122" i="2" l="1"/>
  <c r="J122" i="2"/>
  <c r="J30" i="2" s="1"/>
  <c r="AG95" i="1" s="1"/>
  <c r="AN96" i="1"/>
  <c r="J39" i="3"/>
  <c r="AW94" i="1"/>
  <c r="AK30" i="1"/>
  <c r="J30" i="4"/>
  <c r="AG97" i="1"/>
  <c r="AZ94" i="1"/>
  <c r="W29" i="1"/>
  <c r="W32" i="1"/>
  <c r="AX94" i="1"/>
  <c r="J39" i="2" l="1"/>
  <c r="J39" i="4"/>
  <c r="J96" i="2"/>
  <c r="AN97" i="1"/>
  <c r="AN95" i="1"/>
  <c r="AG94" i="1"/>
  <c r="AK26" i="1"/>
  <c r="AV94" i="1"/>
  <c r="AK29" i="1"/>
  <c r="AK35" i="1" s="1"/>
  <c r="AT94" i="1" l="1"/>
  <c r="AN94" i="1"/>
</calcChain>
</file>

<file path=xl/sharedStrings.xml><?xml version="1.0" encoding="utf-8"?>
<sst xmlns="http://schemas.openxmlformats.org/spreadsheetml/2006/main" count="3420" uniqueCount="419">
  <si>
    <t>Export Komplet</t>
  </si>
  <si>
    <t/>
  </si>
  <si>
    <t>2.0</t>
  </si>
  <si>
    <t>ZAMOK</t>
  </si>
  <si>
    <t>False</t>
  </si>
  <si>
    <t>{a78f166c-8b6e-4fa3-8fd5-52050218beff}</t>
  </si>
  <si>
    <t>0,01</t>
  </si>
  <si>
    <t>21</t>
  </si>
  <si>
    <t>12</t>
  </si>
  <si>
    <t>REKAPITULACE STAVBY</t>
  </si>
  <si>
    <t>v ---  níže se nacházejí doplnkové a pomocné údaje k sestavám  --- v</t>
  </si>
  <si>
    <t>Návod na vyplnění</t>
  </si>
  <si>
    <t>0,001</t>
  </si>
  <si>
    <t>Kód:</t>
  </si>
  <si>
    <t>CB_II/634-001</t>
  </si>
  <si>
    <t>Měnit lze pouze buňky se žlutým podbarvením!_x000D_
_x000D_
1) na prvním listu Rekapitulace stavby vyplňte v sestavě_x000D_
_x000D_
    a) Souhrnný list_x000D_
       - údaje o Uchazeči_x000D_
         (přenesou se do ostatních sestav i v jiných listech)_x000D_
_x000D_
    b) Rekapitulace objektů_x000D_
       - potřebné Ostatní náklady_x000D_
_x000D_
2) na vybraných listech vyplňte v sestavě_x000D_
_x000D_
    a) Krycí list_x000D_
       - údaje o Uchazeči, pokud se liší od údajů o Uchazeči na Souhrnném listu_x000D_
         (údaje se přenesou do ostatních sestav v daném listu)_x000D_
_x000D_
    b) Rekapitulace rozpočtu_x000D_
       - potřebné Ostatní náklady_x000D_
_x000D_
    c) Celkové náklady za stavbu_x000D_
       - ceny u položek_x000D_
       - množství, pokud má žluté podbarvení_x000D_
       - a v případě potřeby poznámku (ta je ve skrytém sloupci)</t>
  </si>
  <si>
    <t>Stavba:</t>
  </si>
  <si>
    <t>Oprava silnice II/634 Rudolfov-Klauda</t>
  </si>
  <si>
    <t>KSO:</t>
  </si>
  <si>
    <t>CC-CZ:</t>
  </si>
  <si>
    <t>Místo:</t>
  </si>
  <si>
    <t>Rudolfov-Klauda</t>
  </si>
  <si>
    <t>Datum:</t>
  </si>
  <si>
    <t>Zadavatel:</t>
  </si>
  <si>
    <t>IČ:</t>
  </si>
  <si>
    <t>70890650</t>
  </si>
  <si>
    <t>Jihočeský kraj</t>
  </si>
  <si>
    <t>DIČ:</t>
  </si>
  <si>
    <t>CZ70890650</t>
  </si>
  <si>
    <t>Uchazeč:</t>
  </si>
  <si>
    <t>Vyplň údaj</t>
  </si>
  <si>
    <t>Projektant:</t>
  </si>
  <si>
    <t>70971641</t>
  </si>
  <si>
    <t>Správa a údržba silnic Jihočeského kraje p.o.</t>
  </si>
  <si>
    <t>CZ70971641</t>
  </si>
  <si>
    <t>True</t>
  </si>
  <si>
    <t>Zpracovatel:</t>
  </si>
  <si>
    <t>Petr Nachtigal 606 633 836</t>
  </si>
  <si>
    <t>Poznámka:</t>
  </si>
  <si>
    <t>Délka realizace: 25 kalendářních dnů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</si>
  <si>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</si>
  <si>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</si>
  <si>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</si>
  <si>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</si>
  <si>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</si>
  <si>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</si>
  <si>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</si>
  <si>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</si>
  <si>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</si>
  <si>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</si>
  <si>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</si>
  <si>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</si>
  <si>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</si>
  <si>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</si>
  <si>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</si>
  <si>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</si>
  <si>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</si>
  <si>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</si>
  <si>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Uchazeč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</si>
  <si>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</si>
  <si>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</si>
  <si>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</si>
  <si>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</si>
  <si>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</si>
  <si>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</si>
  <si>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</si>
  <si>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</si>
  <si>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</si>
  <si>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</si>
  <si>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</si>
  <si>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</si>
  <si>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</si>
  <si>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</si>
  <si>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</si>
  <si>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</si>
  <si>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</si>
  <si>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</si>
  <si>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</si>
  <si>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z rozpočtů</t>
  </si>
  <si>
    <t>D</t>
  </si>
  <si>
    <t>0</t>
  </si>
  <si>
    <t>###NOIMPORT###</t>
  </si>
  <si>
    <t>IMPORT</t>
  </si>
  <si>
    <t>{00000000-0000-0000-0000-000000000000}</t>
  </si>
  <si>
    <t>/</t>
  </si>
  <si>
    <t>SO101</t>
  </si>
  <si>
    <t>Oprava silniceII/634 Rudolfov-Klauda, staničení km 5,278-6,700</t>
  </si>
  <si>
    <t>STA</t>
  </si>
  <si>
    <t>1</t>
  </si>
  <si>
    <t>{9cc8bc20-5045-440f-bc7d-6e37ef741e5d}</t>
  </si>
  <si>
    <t>2</t>
  </si>
  <si>
    <t>SO102</t>
  </si>
  <si>
    <t>DIO</t>
  </si>
  <si>
    <t>{1f558fdb-73fd-4fab-bf58-10a340866e8f}</t>
  </si>
  <si>
    <t>SO103</t>
  </si>
  <si>
    <t xml:space="preserve">Doplňující údaje </t>
  </si>
  <si>
    <t>{071c7aec-1539-460d-b9ed-ffb9347be52a}</t>
  </si>
  <si>
    <t>KRYCÍ LIST SOUPISU PRACÍ</t>
  </si>
  <si>
    <t>Objekt:</t>
  </si>
  <si>
    <t>SO101 - Oprava silniceII/634 Rudolfov-Klauda, staničení km 5,278-6,700</t>
  </si>
  <si>
    <t>REKAPITULACE ČLENĚNÍ SOUPISU PRACÍ</t>
  </si>
  <si>
    <t>Kód dílu - Popis</t>
  </si>
  <si>
    <t>Cena celkem [CZK]</t>
  </si>
  <si>
    <t>Náklady ze soupisu prací</t>
  </si>
  <si>
    <t>-1</t>
  </si>
  <si>
    <t>HSV - Práce a dodávky HSV</t>
  </si>
  <si>
    <t xml:space="preserve">    1 - Zemní práce</t>
  </si>
  <si>
    <t xml:space="preserve">    5 - Komunikace pozemní</t>
  </si>
  <si>
    <t xml:space="preserve">    8 - Trubní vedení</t>
  </si>
  <si>
    <t xml:space="preserve">    9 - Ostatní konstrukce a práce, bourání</t>
  </si>
  <si>
    <t>OST - Ostatní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</si>
  <si>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</si>
  <si>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</si>
  <si>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</si>
  <si>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</si>
  <si>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</si>
  <si>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</si>
  <si>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</si>
  <si>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</si>
  <si>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</si>
  <si>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</si>
  <si>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</si>
  <si>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</si>
  <si>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</si>
  <si>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</si>
  <si>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Práce a dodávky HSV</t>
  </si>
  <si>
    <t>ROZPOCET</t>
  </si>
  <si>
    <t>Zemní práce</t>
  </si>
  <si>
    <t>K</t>
  </si>
  <si>
    <t>11372A</t>
  </si>
  <si>
    <t>FRÉZOVÁNÍ ZPEVNĚNÝCH PLOCH ASFALTOVÝCH - BEZ DOPRAVY</t>
  </si>
  <si>
    <t>M3</t>
  </si>
  <si>
    <t>OTSKP 2024</t>
  </si>
  <si>
    <t>4</t>
  </si>
  <si>
    <t>-83527152</t>
  </si>
  <si>
    <t>PP</t>
  </si>
  <si>
    <t>PSC</t>
  </si>
  <si>
    <t>Poznámka k souboru cen:_x000D_
Položka zahrnuje: - veškerou manipulaci s vybouranou sutí a s vybouranými hmotami, kromě vodorovné dopravy, vč. uložení na skládku. Položka nezahrnuje: - vodorovnou dopravu - poplatek za skládku, který se vykazuje v položce 0141** (s výjimkou malého množství bouraného materiálu, kde je možné poplatek zahrnout do jednotkové ceny bourání – tento fakt musí být uveden v doplňujícím textu k položce).</t>
  </si>
  <si>
    <t>VV</t>
  </si>
  <si>
    <t xml:space="preserve">v tl. 50 mm </t>
  </si>
  <si>
    <t>včetně napojení a rozšíření</t>
  </si>
  <si>
    <t>délka 1422</t>
  </si>
  <si>
    <t>šířka 7,9</t>
  </si>
  <si>
    <t>hloubka 0,05</t>
  </si>
  <si>
    <t>délka 15,5</t>
  </si>
  <si>
    <t>šířka 1</t>
  </si>
  <si>
    <t>délka 10</t>
  </si>
  <si>
    <t>délka 6</t>
  </si>
  <si>
    <t>délka 11</t>
  </si>
  <si>
    <t>délka 50</t>
  </si>
  <si>
    <t>šířka 2,5</t>
  </si>
  <si>
    <t>1422*7,9*0,05+15,5*1*0,05+10*1*0,05+6*1*0,05+11*1*0,05+50*2,5*0,05</t>
  </si>
  <si>
    <t>35</t>
  </si>
  <si>
    <t>1835308790</t>
  </si>
  <si>
    <t xml:space="preserve">v tl. 100 mm </t>
  </si>
  <si>
    <t>délka 1421</t>
  </si>
  <si>
    <t>hloubka 0,1</t>
  </si>
  <si>
    <t>1421*7,9*0,1</t>
  </si>
  <si>
    <t>36</t>
  </si>
  <si>
    <t>11372R</t>
  </si>
  <si>
    <t xml:space="preserve">ODKUP A ODVOZ ASFALTOVĚHO RECYKLÁTU ZHOTOVITELEM- OBJEMOVÁ HMOTNOST PŘED FRÉZOVÁNÍM 2,4 T/M3; CENA -1,-KČ/T </t>
  </si>
  <si>
    <t>T</t>
  </si>
  <si>
    <t>-25884218</t>
  </si>
  <si>
    <t xml:space="preserve">ODKUP A ODVOZ ASFALTOVĚHO RECYKLÁTU ZHOTOVITELEM- OBJEMOVÁ HMOTNOST PŘED FRÉZOVÁNÍM 2,4 T/M3; CENA 1,-KČ/T </t>
  </si>
  <si>
    <t>PAU skupina ZAS T1</t>
  </si>
  <si>
    <t>objem 570,065</t>
  </si>
  <si>
    <t>objem 1122,59</t>
  </si>
  <si>
    <t>koeficient 2,4</t>
  </si>
  <si>
    <t>(570,065+1122,59)*2,4</t>
  </si>
  <si>
    <t>10</t>
  </si>
  <si>
    <t>12922</t>
  </si>
  <si>
    <t>ČIŠTĚNÍ KRAJNIC OD NÁNOSU TL. DO 100MM</t>
  </si>
  <si>
    <t>M2</t>
  </si>
  <si>
    <t>1704054789</t>
  </si>
  <si>
    <t>Poznámka k souboru cen:_x000D_
Položka zahrnuje: - vodorovnou a svislou dopravu, přemístění, přeložení, manipulace s materiálem a uložení na skládku. Položka nezahrnuje: - poplatek za skládku, který se vykazuje v položce 0141** (s výjimkou malého množství materiálu, kde je možné poplatek zahrnout do jednotkové ceny položky – tento fakt musí být uveden v doplňujícím textu k položce)</t>
  </si>
  <si>
    <t>s odvozem na skládku do 8 km, š= 0,8-1 m, okolo sil.obrubníků š= 0,6 m</t>
  </si>
  <si>
    <t>včetně krajnic okolo silničních obrubníků - průtah Rudolfova pravá strana</t>
  </si>
  <si>
    <t>délka 155</t>
  </si>
  <si>
    <t>šířka 0,9</t>
  </si>
  <si>
    <t>délka 73</t>
  </si>
  <si>
    <t>šířka 0,6</t>
  </si>
  <si>
    <t>délka 1119</t>
  </si>
  <si>
    <t>počet 2</t>
  </si>
  <si>
    <t>155*0,9+73*0,6+1119*2*0,9</t>
  </si>
  <si>
    <t>11</t>
  </si>
  <si>
    <t>12931</t>
  </si>
  <si>
    <t>ČIŠTĚNÍ PŘÍKOPŮ OD NÁNOSU DO 0,25M3/M</t>
  </si>
  <si>
    <t>M</t>
  </si>
  <si>
    <t>1670220835</t>
  </si>
  <si>
    <t>s odvozem na skládku do 8 km</t>
  </si>
  <si>
    <t>délka 1008</t>
  </si>
  <si>
    <t>1008</t>
  </si>
  <si>
    <t>5</t>
  </si>
  <si>
    <t>Komunikace pozemní</t>
  </si>
  <si>
    <t>29</t>
  </si>
  <si>
    <t>567551</t>
  </si>
  <si>
    <t>VRSTVY PRO OBNOVU A OPRAVY RECYK ZA STUDENA CEM TL DO 250MM</t>
  </si>
  <si>
    <t>-1464740326</t>
  </si>
  <si>
    <t>Poznámka k souboru cen:_x000D_
Položka zahrnuje: - dodání materiálů předepsaných pro recyklaci za studena - provedení recyklace dle předepsaného technologického předpisu, zhutnění vrstvy v předepsané tloušťce - zřízení vrstvy bez rozlišení šířky, pokládání vrstvy po etapách - úpravu napojení, ukončení Položka nezahrnuje: - postřiky, nátěry</t>
  </si>
  <si>
    <t>ČSN 736147</t>
  </si>
  <si>
    <t>v tl. 250 mm</t>
  </si>
  <si>
    <t>Recyklaci provést ve dvou krocích:</t>
  </si>
  <si>
    <t>1. krok - rozfrézování stávajících podkladních vrstev v tl. 250 mm s reprofilací a homogenizací podélného i příčného profilu</t>
  </si>
  <si>
    <t>v rámci tohoto kroku bude veškerý rozfrézovaný  materiál napadaný na přilehlý terén včetně svahů uklizen a vrácen zpět do konstrukce vozovky</t>
  </si>
  <si>
    <t>2. krok - provedení recyklace za studena RS CA dle TP 150 MD ČR a ČSN EN 736147  včetně případných ITT/průkazných zkoušek v tl. 250 mm</t>
  </si>
  <si>
    <t>předpokládané dávkování 4% hydraulických pojiv a 2% asfaltových pojiv, bude upřesněno na základě rozboru</t>
  </si>
  <si>
    <t>délka 1420</t>
  </si>
  <si>
    <t>1420*7,9</t>
  </si>
  <si>
    <t>22</t>
  </si>
  <si>
    <t>56962</t>
  </si>
  <si>
    <t>ZPEVNĚNÍ KRAJNIC Z RECYKLOVANÉHO MATERIÁLU TL DO 100MM</t>
  </si>
  <si>
    <t>-1609770311</t>
  </si>
  <si>
    <t>Poznámka k souboru cen:_x000D_
- dodání recyklátu v požadované kvalitě - očištění podkladu - uložení recyklátu dle předepsaného technologického předpisu, zhutnění vrstvy v předepsané tloušťce - zřízení vrstvy bez rozlišení šířky, pokládání vrstvy po etapách, včetně pracovních spar a spojů - úpravu napojení, ukončení - nezahrnuje postřiky, nátěry</t>
  </si>
  <si>
    <t>z rec. materiálu., zrnitost 0 - 16 mm se zhutněním, tl. do 100 mm, š = 0,9 m (dosypání rýhy v krajnici po pokládce AHV a krajnice)</t>
  </si>
  <si>
    <t>155*0,9+1119*2*0,9</t>
  </si>
  <si>
    <t>17</t>
  </si>
  <si>
    <t>572223</t>
  </si>
  <si>
    <t>SPOJOVACÍ POSTŘIK Z EMULZE DO 1,0KG/M2</t>
  </si>
  <si>
    <t>-72417654</t>
  </si>
  <si>
    <t>Poznámka k souboru cen:_x000D_
Položka zahrnuje: - dodání všech předepsaných materiálů pro postřiky v předepsaném množství - provedení dle předepsaného technologického předpisu - zřízení vrstvy bez rozlišení šířky, pokládání vrstvy po etapách - úpravu napojení, ukončení Položka nezahrnuje: - x</t>
  </si>
  <si>
    <t>v množství zbytkového pojiva 0,2-0,65 kg/m2</t>
  </si>
  <si>
    <t>ČSN 736129, TKP kap.26</t>
  </si>
  <si>
    <t>šířka 8</t>
  </si>
  <si>
    <t>1422*8+15,5*1+10*1+6*1+11*1+50*2,5</t>
  </si>
  <si>
    <t>40</t>
  </si>
  <si>
    <t>739455735</t>
  </si>
  <si>
    <t>šířka 8,12</t>
  </si>
  <si>
    <t>1421*8,12</t>
  </si>
  <si>
    <t>47</t>
  </si>
  <si>
    <t>574A34</t>
  </si>
  <si>
    <t>ASFALTOVÝ BETON PRO OBRUSNÉ VRSTVY ACO 11+ TL. 40MM</t>
  </si>
  <si>
    <t>-1851267476</t>
  </si>
  <si>
    <t>Poznámka k souboru cen:_x000D_
Položka zahrnuje: - dodání směsi v požadované kvalitě - očištění podkladu - uložení směsi dle předepsaného technologického předpisu, zhutnění vrstvy v předepsané tloušťce - zřízení vrstvy bez rozlišení šířky, pokládání vrstvy po etapách, včetně pracovních spar a spojů - úpravu napojení, ukončení podél obrubníků, dilatačních zařízení, odvodňovacích proužků, odvodňovačů, vpustí, šachet a pod. Položka nezahrnuje: - postřiky, nátěry - těsnění podél obrubníků, dilatačních zařízení, odvodňovacích proužků, odvodňovačů, vpustí, šachet a pod.</t>
  </si>
  <si>
    <t>ACO 11+ (50/70)</t>
  </si>
  <si>
    <t>ČSN 736121,TKP kap.7</t>
  </si>
  <si>
    <t>včetně připojení a rozšíření</t>
  </si>
  <si>
    <t>šířka 0,05</t>
  </si>
  <si>
    <t>1422*7,9+1422*0,05++15,5*1+10*1+6*1+11*1+50*2,5</t>
  </si>
  <si>
    <t>48</t>
  </si>
  <si>
    <t>574C46</t>
  </si>
  <si>
    <t>ASFALTOVÝ BETON PRO LOŽNÍ VRSTVY ACL 16+, 16S TL. 50MM</t>
  </si>
  <si>
    <t>-946557685</t>
  </si>
  <si>
    <t>ACL 16+ (50/70)</t>
  </si>
  <si>
    <t>šířka 0,18</t>
  </si>
  <si>
    <t>1421*7,9+1421*0,18</t>
  </si>
  <si>
    <t>49</t>
  </si>
  <si>
    <t>574E58</t>
  </si>
  <si>
    <t>ASFALTOVÝ BETON PRO PODKLADNÍ VRSTVY ACP 22+, 22S TL. 60MM</t>
  </si>
  <si>
    <t>-81017482</t>
  </si>
  <si>
    <t>ACP 22+ (50/70)</t>
  </si>
  <si>
    <t>1421*7,9</t>
  </si>
  <si>
    <t>8</t>
  </si>
  <si>
    <t>Trubní vedení</t>
  </si>
  <si>
    <t>42</t>
  </si>
  <si>
    <t>89711</t>
  </si>
  <si>
    <t>VPUSŤ KANALIZAČNÍ ULIČNÍ KOMPLETNÍ MONOLIT BETON</t>
  </si>
  <si>
    <t>KUS</t>
  </si>
  <si>
    <t>-1546047939</t>
  </si>
  <si>
    <t>Poznámka k souboru cen:_x000D_
Položka zahrnuje: - mříže s rámem, koše na bahno, - dodání čerstvého betonu (betonové směsi) požadované kvality, jeho uložení do požadovaného tvaru při jakékoliv hustotě výztuže, konzistenci čerstvého betonu a způsobu hutnění, ošetření a ochranu betonu, - zhotovení nepropustného, mrazuvzdorného betonu a betonu požadované trvanlivosti a vlastností, - užití potřebných přísad a technologií výroby betonu, - zřízení pracovních a dilatačních spar, včetně potřebných úprav, výplně, vložek, opracování, očištění a ošetření, - bednění požadovaných konstr. (i ztracené) s úpravou dle požadované kvality povrchu betonu, včetně odbedňovacích a odskružovacích prostředků, - zřízení všech požadovaných otvorů, kapes, výklenků, prostupů, dutin, drážek a pod., vč. ztížení práce a úprav kolem nich, - nátěry zabraňující soudržnost betonu a bednění, - výplň, těsnění a tmelení spar a spojů, - opatření povrchů betonu izolací proti zemní vlhkosti v částech, kde přijdou do styku se zeminou nebo kamenivem, - předepsané podkladní konstrukce Položka nezahrnuje: - x</t>
  </si>
  <si>
    <t>s napojením do 2 m</t>
  </si>
  <si>
    <t>počet 4</t>
  </si>
  <si>
    <t>32</t>
  </si>
  <si>
    <t>89922</t>
  </si>
  <si>
    <t>VÝŠKOVÁ ÚPRAVA MŘÍŽÍ</t>
  </si>
  <si>
    <t>-1910417227</t>
  </si>
  <si>
    <t>Poznámka k souboru cen:_x000D_
Položka zahrnuje: - všechny nutné práce a materiály pro zvýšení nebo snížení zařízení (včetně nutné úpravy stávajícího povrchu vozovky nebo chodníku) Položka nezahrnuje: - x</t>
  </si>
  <si>
    <t>počet 3</t>
  </si>
  <si>
    <t>3</t>
  </si>
  <si>
    <t>33</t>
  </si>
  <si>
    <t>89923</t>
  </si>
  <si>
    <t>VÝŠKOVÁ ÚPRAVA KRYCÍCH HRNCŮ</t>
  </si>
  <si>
    <t>-1538858039</t>
  </si>
  <si>
    <t>počet 1</t>
  </si>
  <si>
    <t>9</t>
  </si>
  <si>
    <t>Ostatní konstrukce a práce, bourání</t>
  </si>
  <si>
    <t>44</t>
  </si>
  <si>
    <t>9113B1</t>
  </si>
  <si>
    <t>SVODIDLO OCEL SILNIČ JEDNOSTR, ÚROVEŇ ZADRŽ H1 -DODÁVKA A MONTÁŽ</t>
  </si>
  <si>
    <t>1697660213</t>
  </si>
  <si>
    <t>Poznámka k souboru cen:_x000D_
Položka zahrnuje: - kompletní dodávku všech dílů certifikovaného ocelového svodidla s předepsanou povrchovou úpravou včetně spojovacích prvků - montáž a osazení svodidla, osazení sloupků zaberaněním nebo osazením do betonových bloků (včetně betonových bloků a nutných zemních prací) - výškové náběhy, ukončení zapuštěním do betonových bloků (včetně betonového bloku a nutných zemních prací) nebo koncovkou - přechod na jiný typ svodidla nebo přes mostní závěr - ochranu proti bludným proudům a vývody pro jejich měření Položka nezahrnuje: - odrazky nebo retroreflexní fólie Způsob měření: - vykazuje se délka svodidla v předepsané výšce, délka náběhů se nezapočítává</t>
  </si>
  <si>
    <t>délka 32</t>
  </si>
  <si>
    <t>41</t>
  </si>
  <si>
    <t>912282</t>
  </si>
  <si>
    <t>SMĚROVÉ SLOUPKY Z PLAST HMOT - DEMONTÁŽ A ZPĚTNÁ MONTÁŽ</t>
  </si>
  <si>
    <t>-1253635024</t>
  </si>
  <si>
    <t>Poznámka k souboru cen:_x000D_
Položka zahrnuje: - demontáž a osazení sloupku včetně nutných zemních prací - očištění - nové odrazky plastové nebo z retroreflexní fólie Položka nezahrnuje: - x</t>
  </si>
  <si>
    <t>počet 40</t>
  </si>
  <si>
    <t>43</t>
  </si>
  <si>
    <t>915111</t>
  </si>
  <si>
    <t>VODOROVNÉ DOPRAVNÍ ZNAČENÍ BARVOU HLADKÉ - DODÁVKA A POKLÁDKA</t>
  </si>
  <si>
    <t>-1096035163</t>
  </si>
  <si>
    <t>Poznámka k souboru cen:_x000D_
Položka zahrnuje: - dodání a pokládku nátěrového materiálu - předznačení a reflexní úpravu Položka nezahrnuje: - x Způsob měření: - měří se pouze natíraná plocha</t>
  </si>
  <si>
    <t>V18</t>
  </si>
  <si>
    <t>délka 3,7</t>
  </si>
  <si>
    <t>šířka 0,5</t>
  </si>
  <si>
    <t>počet 10</t>
  </si>
  <si>
    <t>šířka 0,25</t>
  </si>
  <si>
    <t>počet 12</t>
  </si>
  <si>
    <t>3,7*0,5*10+3,7*0,25*12</t>
  </si>
  <si>
    <t>14</t>
  </si>
  <si>
    <t>915111C</t>
  </si>
  <si>
    <t>VODOROVNÉ DOPRAVNÍ ZNAČENÍ BARVOU HLADKÉ - VODÍCÍ, STŘEDOVÁ ČÁRA 125 MM S BALOTINOU ZŘÍZENÍ</t>
  </si>
  <si>
    <t>-1971000286</t>
  </si>
  <si>
    <t>Technická specifikace: položka zahrnuje:
- dodání a pokládku nátěrového materiálu (měří se pouze natíraná plocha)
- předznačení a reflexní úpravu</t>
  </si>
  <si>
    <t>vodící čára</t>
  </si>
  <si>
    <t>1422*3</t>
  </si>
  <si>
    <t>OST</t>
  </si>
  <si>
    <t>Ostatní</t>
  </si>
  <si>
    <t>23</t>
  </si>
  <si>
    <t>014122</t>
  </si>
  <si>
    <t>POPLATKY ZA SKLÁDKU TYP S-OO (OSTATNÍ ODPAD)</t>
  </si>
  <si>
    <t>512</t>
  </si>
  <si>
    <t>-1280347018</t>
  </si>
  <si>
    <t>Poznámka k souboru cen:_x000D_
Položka zahrnuje: - veškeré poplatky provozovateli skládky související s uložením odpadu na skládce. Položka nezahrnuje: - x</t>
  </si>
  <si>
    <t>krajnice, příkopy, objemová hmotnost před těžením 1,8 t/m3</t>
  </si>
  <si>
    <t>plocha 2197,5</t>
  </si>
  <si>
    <t>koeficient 1,8</t>
  </si>
  <si>
    <t>koeficient 0,25</t>
  </si>
  <si>
    <t>2197,5*0,1*1,8+1008*0,25*1,8</t>
  </si>
  <si>
    <t>SO102 - DIO</t>
  </si>
  <si>
    <t>914122</t>
  </si>
  <si>
    <t>DOPRAVNÍ ZNAČKY ZÁKLADNÍ VELIKOSTI OCELOVÉ FÓLIE TŘ 1 - MONTÁŽ S PŘEMÍSTĚNÍM</t>
  </si>
  <si>
    <t>180329204</t>
  </si>
  <si>
    <t>Poznámka k souboru cen:_x000D_
položka zahrnuje: - dopravu demontované značky z dočasné skládky - osazení a montáž značky na místě určeném projektem - nutnou opravu poškozených částí nezahrnuje dodávku značky</t>
  </si>
  <si>
    <t>počet 55</t>
  </si>
  <si>
    <t>55</t>
  </si>
  <si>
    <t>914123</t>
  </si>
  <si>
    <t>DOPRAVNÍ ZNAČKY ZÁKLADNÍ VELIKOSTI OCELOVÉ FÓLIE TŘ 1 - DEMONTÁŽ</t>
  </si>
  <si>
    <t>2137435945</t>
  </si>
  <si>
    <t>Poznámka k souboru cen:_x000D_
Položka zahrnuje odstranění, demontáž a odklizení materiálu s odvozem na předepsané místo</t>
  </si>
  <si>
    <t>914129</t>
  </si>
  <si>
    <t>DOPRAV ZNAČKY ZÁKLAD VEL OCEL FÓLIE TŘ 1 - NÁJEMNÉ</t>
  </si>
  <si>
    <t>KSDEN</t>
  </si>
  <si>
    <t>-254528290</t>
  </si>
  <si>
    <t>Poznámka k souboru cen:_x000D_
položka zahrnuje sazbu za pronájem dopravních značek a zařízení, počet jednotek je určen jako součin počtu značek a počtu dní použití</t>
  </si>
  <si>
    <t>dny 25</t>
  </si>
  <si>
    <t>55*25</t>
  </si>
  <si>
    <t>914422</t>
  </si>
  <si>
    <t>DOPRAVNÍ ZNAČKY 100X150CM OCELOVÉ FÓLIE TŘ 1 - MONTÁŽ S PŘEMÍSTĚNÍM</t>
  </si>
  <si>
    <t>-140651510</t>
  </si>
  <si>
    <t>počet 11</t>
  </si>
  <si>
    <t>914423</t>
  </si>
  <si>
    <t>DOPRAVNÍ ZNAČKY 100X150CM OCELOVÉ FÓLIE TŘ 1 - DEMONTÁŽ</t>
  </si>
  <si>
    <t>1802926264</t>
  </si>
  <si>
    <t>6</t>
  </si>
  <si>
    <t>914429</t>
  </si>
  <si>
    <t>DOPRAV ZNAČ 100X150CM OCEL FÓLIE TŘ 1 - NÁJEMNÉ</t>
  </si>
  <si>
    <t>-365261205</t>
  </si>
  <si>
    <t>11*25</t>
  </si>
  <si>
    <t>7</t>
  </si>
  <si>
    <t>916112</t>
  </si>
  <si>
    <t>DOPRAV SVĚTLO VÝSTRAŽ SAMOSTATNÉ - MONTÁŽ S PŘESUNEM</t>
  </si>
  <si>
    <t>-1592772815</t>
  </si>
  <si>
    <t>Poznámka k souboru cen:_x000D_
položka zahrnuje: - přemístění zařízení z dočasné skládky a jeho osazení a montáž na místě určeném projektem - údržbu po celou dobu trvání funkce, náhradu zničených nebo ztracených kusů, nutnou opravu poškozených částí - napájení z baterie včetně záložní baterie</t>
  </si>
  <si>
    <t>916113</t>
  </si>
  <si>
    <t>DOPRAV SVĚTLO VÝSTRAŽ SAMOSTATNÉ - DEMONTÁŽ</t>
  </si>
  <si>
    <t>1789742438</t>
  </si>
  <si>
    <t>Poznámka k souboru cen:_x000D_
Položka zahrnuje odstranění, demontáž a odklizení zařízení s odvozem na předepsané místo</t>
  </si>
  <si>
    <t>916119</t>
  </si>
  <si>
    <t>DOPRAV SVĚTLO VÝSTRAŽ SAMOSTATNÉ - NÁJEMNÉ</t>
  </si>
  <si>
    <t>496199438</t>
  </si>
  <si>
    <t>Poznámka k souboru cen:_x000D_
položka zahrnuje sazbu za pronájem zařízení. Počet měrných jednotek se určí jako součin počtu zařízení a počtu dní použití.</t>
  </si>
  <si>
    <t>4*25</t>
  </si>
  <si>
    <t>916222</t>
  </si>
  <si>
    <t>DOPRAVNÍ KUŽEL Z1 VÝŠ 50CM S FÓLIÍ TŘ 1 - MONTÁŽ S PŘESUNEM</t>
  </si>
  <si>
    <t>331660619</t>
  </si>
  <si>
    <t>Poznámka k souboru cen:_x000D_
položka zahrnuje: - přemístění zařízení z dočasné skládky a jeho osazení a montáž na místě určeném projektem - údržbu po celou dobu trvání funkce, náhradu zničených nebo ztracených kusů, nutnou opravu poškozených částí</t>
  </si>
  <si>
    <t>počet 20</t>
  </si>
  <si>
    <t>20</t>
  </si>
  <si>
    <t>916223</t>
  </si>
  <si>
    <t>DOPRAVNÍ KUŽEL Z1 VÝŠ 50CM S FÓLIÍ TŘ 1 - DEMONTÁŽ</t>
  </si>
  <si>
    <t>-1244070323</t>
  </si>
  <si>
    <t>916229</t>
  </si>
  <si>
    <t>DOPRAVNÍ KUŽEL Z1 VÝŠKY 50CM - NÁJEMNÉ</t>
  </si>
  <si>
    <t>-541645480</t>
  </si>
  <si>
    <t>dny 20</t>
  </si>
  <si>
    <t>20*20</t>
  </si>
  <si>
    <t>13</t>
  </si>
  <si>
    <t>916312</t>
  </si>
  <si>
    <t>DOPRAVNÍ ZÁBRANY Z2 S FÓLIÍ TŘ 1 - MONTÁŽ S PŘESUNEM</t>
  </si>
  <si>
    <t>840930153</t>
  </si>
  <si>
    <t>916313</t>
  </si>
  <si>
    <t>DOPRAVNÍ ZÁBRANY Z2 S FÓLIÍ TŘ 1 - DEMONTÁŽ</t>
  </si>
  <si>
    <t>-1080833006</t>
  </si>
  <si>
    <t>15</t>
  </si>
  <si>
    <t>916319</t>
  </si>
  <si>
    <t>DOPRAVNÍ ZÁBRANY Z2 - NÁJEMNÉ</t>
  </si>
  <si>
    <t>1918067996</t>
  </si>
  <si>
    <t>16</t>
  </si>
  <si>
    <t>916352</t>
  </si>
  <si>
    <t>SMĚROVACÍ DESKY Z4 OBOUSTR S FÓLIÍ TŘ 1 - MONTÁŽ S PŘESUNEM</t>
  </si>
  <si>
    <t>1453074869</t>
  </si>
  <si>
    <t>916353</t>
  </si>
  <si>
    <t>SMĚROVACÍ DESKY Z4 OBOUSTR S FÓLIÍ TŘ 1 - DEMONTÁŽ</t>
  </si>
  <si>
    <t>332437905</t>
  </si>
  <si>
    <t>18</t>
  </si>
  <si>
    <t>916359</t>
  </si>
  <si>
    <t>SMĚROVACÍ DESKY Z4 OBOUSTR S FÓLIÍ TŘ 1 - NÁJEMNÉ</t>
  </si>
  <si>
    <t>-265661972</t>
  </si>
  <si>
    <t>01450</t>
  </si>
  <si>
    <t>POPLATKY ZA NÁHRADNÍ AUTOBUSOVOU DOPRAVU</t>
  </si>
  <si>
    <t>KPL</t>
  </si>
  <si>
    <t>5089028</t>
  </si>
  <si>
    <t>Poznámka k souboru cen:_x000D_
Položka zahrnuje: - veškeré náklady související s náhradní autousovou dopravou Položka nezahrnuje: - x</t>
  </si>
  <si>
    <t>jedná se o náhradní autobusovou dopravu na akcích: Oprava silnice II/634 Rudolfov - Klauda a Rekonstrukce průtahu II/634 Klauda</t>
  </si>
  <si>
    <t>2 spoje ráno a 2 spoje odpoledne</t>
  </si>
  <si>
    <t>položka bude naceněna preliminářem v hodnotě 33.000,- Kč bez DPH</t>
  </si>
  <si>
    <t>cena 600,- Kč / den, celkem 55 dní</t>
  </si>
  <si>
    <t xml:space="preserve">SO103 - Doplňující údaje </t>
  </si>
  <si>
    <t>02520</t>
  </si>
  <si>
    <t>ZKOUŠENÍ MATERIÁLŮ NEZÁVISLOU ZKUŠEBNOU</t>
  </si>
  <si>
    <t>-1338611030</t>
  </si>
  <si>
    <t>Poznámka k souboru cen:_x000D_
zahrnuje veškeré náklady spojené s objednatelem požadovanými zkouškami</t>
  </si>
  <si>
    <t>bude čerpáno se souhlasem investora</t>
  </si>
  <si>
    <t>029113</t>
  </si>
  <si>
    <t>OSTATNÍ POŽADAVKY - GEODETICKÉ ZAMĚŘENÍ - CELKY</t>
  </si>
  <si>
    <t>-1657382108</t>
  </si>
  <si>
    <t>Poznámka k souboru cen:_x000D_
zahrnuje veškeré náklady spojené s objednatelem požadovanými pracemi</t>
  </si>
  <si>
    <t>geodetické zaměření vozovkových vrstev - obrusná vrstva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</si>
</sst>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dd\.mm\.yyyy"/>
    <numFmt numFmtId="166" formatCode="#,##0.00000"/>
    <numFmt numFmtId="167" formatCode="#,##0.000"/>
  </numFmts>
  <fonts count="37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800080"/>
      <name val="Arial CE"/>
    </font>
    <font>
      <sz val="8"/>
      <color rgb="FF505050"/>
      <name val="Arial CE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b/>
      <sz val="10"/>
      <color rgb="FF46464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69696"/>
      <name val="Arial CE"/>
    </font>
    <font>
      <sz val="7"/>
      <name val="Arial CE"/>
    </font>
    <font>
      <i/>
      <sz val="7"/>
      <color rgb="FF969696"/>
      <name val="Arial CE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20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 wrapText="1"/>
    </xf>
    <xf numFmtId="0" fontId="0" fillId="0" borderId="4" xfId="0" applyBorder="1"/>
    <xf numFmtId="0" fontId="0" fillId="0" borderId="3" xfId="0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0" fillId="3" borderId="7" xfId="0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0" fillId="0" borderId="0" xfId="0" applyFont="1" applyAlignment="1">
      <alignment horizontal="left" vertical="center"/>
    </xf>
    <xf numFmtId="0" fontId="0" fillId="0" borderId="15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21" fillId="4" borderId="0" xfId="0" applyFont="1" applyFill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4" fontId="2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4" fontId="19" fillId="0" borderId="14" xfId="0" applyNumberFormat="1" applyFont="1" applyBorder="1" applyAlignment="1">
      <alignment vertical="center"/>
    </xf>
    <xf numFmtId="4" fontId="19" fillId="0" borderId="0" xfId="0" applyNumberFormat="1" applyFont="1" applyAlignment="1">
      <alignment vertical="center"/>
    </xf>
    <xf numFmtId="166" fontId="19" fillId="0" borderId="0" xfId="0" applyNumberFormat="1" applyFont="1" applyAlignment="1">
      <alignment vertical="center"/>
    </xf>
    <xf numFmtId="4" fontId="19" fillId="0" borderId="15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28" fillId="0" borderId="14" xfId="0" applyNumberFormat="1" applyFont="1" applyBorder="1" applyAlignment="1">
      <alignment vertical="center"/>
    </xf>
    <xf numFmtId="4" fontId="28" fillId="0" borderId="0" xfId="0" applyNumberFormat="1" applyFont="1" applyAlignment="1">
      <alignment vertical="center"/>
    </xf>
    <xf numFmtId="166" fontId="28" fillId="0" borderId="0" xfId="0" applyNumberFormat="1" applyFont="1" applyAlignment="1">
      <alignment vertical="center"/>
    </xf>
    <xf numFmtId="4" fontId="28" fillId="0" borderId="15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4" fontId="28" fillId="0" borderId="19" xfId="0" applyNumberFormat="1" applyFont="1" applyBorder="1" applyAlignment="1">
      <alignment vertical="center"/>
    </xf>
    <xf numFmtId="4" fontId="28" fillId="0" borderId="20" xfId="0" applyNumberFormat="1" applyFont="1" applyBorder="1" applyAlignment="1">
      <alignment vertical="center"/>
    </xf>
    <xf numFmtId="166" fontId="28" fillId="0" borderId="20" xfId="0" applyNumberFormat="1" applyFont="1" applyBorder="1" applyAlignment="1">
      <alignment vertical="center"/>
    </xf>
    <xf numFmtId="4" fontId="28" fillId="0" borderId="21" xfId="0" applyNumberFormat="1" applyFont="1" applyBorder="1" applyAlignment="1">
      <alignment vertical="center"/>
    </xf>
    <xf numFmtId="0" fontId="29" fillId="0" borderId="0" xfId="0" applyFont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16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4" borderId="0" xfId="0" applyFill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21" fillId="4" borderId="0" xfId="0" applyFont="1" applyFill="1" applyAlignment="1">
      <alignment horizontal="left" vertical="center"/>
    </xf>
    <xf numFmtId="0" fontId="21" fillId="4" borderId="0" xfId="0" applyFont="1" applyFill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vertical="center"/>
    </xf>
    <xf numFmtId="4" fontId="6" fillId="0" borderId="20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20" xfId="0" applyFont="1" applyBorder="1" applyAlignment="1">
      <alignment horizontal="left" vertical="center"/>
    </xf>
    <xf numFmtId="0" fontId="7" fillId="0" borderId="20" xfId="0" applyFont="1" applyBorder="1" applyAlignment="1">
      <alignment vertical="center"/>
    </xf>
    <xf numFmtId="4" fontId="7" fillId="0" borderId="20" xfId="0" applyNumberFormat="1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4" fontId="23" fillId="0" borderId="0" xfId="0" applyNumberFormat="1" applyFont="1"/>
    <xf numFmtId="166" fontId="31" fillId="0" borderId="12" xfId="0" applyNumberFormat="1" applyFont="1" applyBorder="1"/>
    <xf numFmtId="166" fontId="31" fillId="0" borderId="13" xfId="0" applyNumberFormat="1" applyFont="1" applyBorder="1"/>
    <xf numFmtId="4" fontId="32" fillId="0" borderId="0" xfId="0" applyNumberFormat="1" applyFont="1" applyAlignment="1">
      <alignment vertical="center"/>
    </xf>
    <xf numFmtId="0" fontId="8" fillId="0" borderId="3" xfId="0" applyFont="1" applyBorder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Protection="1">
      <protection locked="0"/>
    </xf>
    <xf numFmtId="4" fontId="6" fillId="0" borderId="0" xfId="0" applyNumberFormat="1" applyFont="1"/>
    <xf numFmtId="0" fontId="8" fillId="0" borderId="14" xfId="0" applyFont="1" applyBorder="1"/>
    <xf numFmtId="166" fontId="8" fillId="0" borderId="0" xfId="0" applyNumberFormat="1" applyFont="1"/>
    <xf numFmtId="166" fontId="8" fillId="0" borderId="15" xfId="0" applyNumberFormat="1" applyFont="1" applyBorder="1"/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>
      <alignment horizontal="left"/>
    </xf>
    <xf numFmtId="4" fontId="7" fillId="0" borderId="0" xfId="0" applyNumberFormat="1" applyFont="1"/>
    <xf numFmtId="0" fontId="21" fillId="0" borderId="22" xfId="0" applyFont="1" applyBorder="1" applyAlignment="1">
      <alignment horizontal="center" vertical="center"/>
    </xf>
    <xf numFmtId="49" fontId="21" fillId="0" borderId="22" xfId="0" applyNumberFormat="1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center" vertical="center" wrapText="1"/>
    </xf>
    <xf numFmtId="167" fontId="21" fillId="0" borderId="22" xfId="0" applyNumberFormat="1" applyFont="1" applyBorder="1" applyAlignment="1">
      <alignment vertical="center"/>
    </xf>
    <xf numFmtId="4" fontId="21" fillId="2" borderId="22" xfId="0" applyNumberFormat="1" applyFont="1" applyFill="1" applyBorder="1" applyAlignment="1" applyProtection="1">
      <alignment vertical="center"/>
      <protection locked="0"/>
    </xf>
    <xf numFmtId="4" fontId="21" fillId="0" borderId="22" xfId="0" applyNumberFormat="1" applyFont="1" applyBorder="1" applyAlignment="1">
      <alignment vertical="center"/>
    </xf>
    <xf numFmtId="0" fontId="22" fillId="2" borderId="14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vertical="center"/>
    </xf>
    <xf numFmtId="166" fontId="22" fillId="0" borderId="15" xfId="0" applyNumberFormat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4" fontId="0" fillId="0" borderId="0" xfId="0" applyNumberFormat="1" applyAlignment="1">
      <alignment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14" xfId="0" applyBorder="1" applyAlignment="1">
      <alignment vertical="center"/>
    </xf>
    <xf numFmtId="0" fontId="35" fillId="0" borderId="0" xfId="0" applyFont="1" applyAlignment="1">
      <alignment vertical="center" wrapText="1"/>
    </xf>
    <xf numFmtId="0" fontId="9" fillId="0" borderId="3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vertical="center"/>
      <protection locked="0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" fontId="16" fillId="0" borderId="5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horizontal="right" vertical="center"/>
    </xf>
    <xf numFmtId="4" fontId="17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0" fillId="3" borderId="7" xfId="0" applyFill="1" applyBorder="1" applyAlignment="1">
      <alignment vertical="center"/>
    </xf>
    <xf numFmtId="4" fontId="4" fillId="3" borderId="7" xfId="0" applyNumberFormat="1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left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right" vertical="center"/>
    </xf>
    <xf numFmtId="0" fontId="21" fillId="4" borderId="8" xfId="0" applyFont="1" applyFill="1" applyBorder="1" applyAlignment="1">
      <alignment horizontal="left" vertical="center"/>
    </xf>
    <xf numFmtId="4" fontId="27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26" fillId="0" borderId="0" xfId="0" applyFont="1" applyAlignment="1">
      <alignment horizontal="left" vertical="center" wrapText="1"/>
    </xf>
    <xf numFmtId="4" fontId="23" fillId="0" borderId="0" xfId="0" applyNumberFormat="1" applyFont="1" applyAlignment="1">
      <alignment horizontal="right" vertical="center"/>
    </xf>
    <xf numFmtId="4" fontId="23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2" borderId="0" xfId="0" applyFont="1" applyFill="1" applyAlignment="1" applyProtection="1">
      <alignment horizontal="left" vertical="center"/>
      <protection locked="0"/>
    </xf>
  </cellXfs>
  <cellStyles count="2">
    <cellStyle name="Hypertextový odkaz" xfId="1" builtinId="8"/>
    <cellStyle name="Normální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p.urs.cz/products/kros4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p.urs.cz/products/kros4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p.urs.cz/products/kros4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p.urs.cz/products/kros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M99"/>
  <sheetViews>
    <sheetView showGridLines="0" tabSelected="1" workbookViewId="0">
      <selection activeCell="E14" sqref="E14:AJ14"/>
    </sheetView>
  </sheetViews>
  <sheetFormatPr defaultRowHeight="15"/>
  <cols>
    <col min="1" max="1" width="8.33203125" customWidth="1"/>
    <col min="2" max="2" width="1.6640625" customWidth="1"/>
    <col min="3" max="3" width="4.1640625" customWidth="1"/>
    <col min="4" max="33" width="2.6640625" customWidth="1"/>
    <col min="34" max="34" width="3.33203125" customWidth="1"/>
    <col min="35" max="35" width="31.6640625" customWidth="1"/>
    <col min="36" max="37" width="2.5" customWidth="1"/>
    <col min="38" max="38" width="8.33203125" customWidth="1"/>
    <col min="39" max="39" width="3.33203125" customWidth="1"/>
    <col min="40" max="40" width="13.33203125" customWidth="1"/>
    <col min="41" max="41" width="7.5" customWidth="1"/>
    <col min="42" max="42" width="4.1640625" customWidth="1"/>
    <col min="43" max="43" width="15.6640625" hidden="1" customWidth="1"/>
    <col min="44" max="44" width="13.6640625" customWidth="1"/>
    <col min="45" max="47" width="25.83203125" hidden="1" customWidth="1"/>
    <col min="48" max="49" width="21.6640625" hidden="1" customWidth="1"/>
    <col min="50" max="51" width="25" hidden="1" customWidth="1"/>
    <col min="52" max="52" width="21.6640625" hidden="1" customWidth="1"/>
    <col min="53" max="53" width="19.1640625" hidden="1" customWidth="1"/>
    <col min="54" max="54" width="25" hidden="1" customWidth="1"/>
    <col min="55" max="55" width="21.6640625" hidden="1" customWidth="1"/>
    <col min="56" max="56" width="19.1640625" hidden="1" customWidth="1"/>
    <col min="57" max="57" width="66.5" customWidth="1"/>
    <col min="71" max="91" width="9.33203125" hidden="1"/>
  </cols>
  <sheetData>
    <row r="1" spans="1:74" ht="11.25">
      <c r="A1" s="14" t="s">
        <v>0</v>
      </c>
      <c r="AZ1" s="14" t="s">
        <v>1</v>
      </c>
      <c r="BA1" s="14" t="s">
        <v>2</v>
      </c>
      <c r="BB1" s="14" t="s">
        <v>3</v>
      </c>
      <c r="BT1" s="14" t="s">
        <v>4</v>
      </c>
      <c r="BU1" s="14" t="s">
        <v>4</v>
      </c>
      <c r="BV1" s="14" t="s">
        <v>5</v>
      </c>
    </row>
    <row r="2" spans="1:74" ht="36.950000000000003" customHeight="1"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S2" s="15" t="s">
        <v>6</v>
      </c>
      <c r="BT2" s="15" t="s">
        <v>7</v>
      </c>
    </row>
    <row r="3" spans="1:74" ht="6.95" customHeight="1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8"/>
      <c r="BS3" s="15" t="s">
        <v>6</v>
      </c>
      <c r="BT3" s="15" t="s">
        <v>8</v>
      </c>
    </row>
    <row r="4" spans="1:74" ht="24.95" customHeight="1">
      <c r="B4" s="18"/>
      <c r="D4" s="19" t="s">
        <v>9</v>
      </c>
      <c r="AR4" s="18"/>
      <c r="AS4" s="20" t="s">
        <v>10</v>
      </c>
      <c r="BE4" s="21" t="s">
        <v>11</v>
      </c>
      <c r="BS4" s="15" t="s">
        <v>12</v>
      </c>
    </row>
    <row r="5" spans="1:74" ht="12" customHeight="1">
      <c r="B5" s="18"/>
      <c r="D5" s="22" t="s">
        <v>13</v>
      </c>
      <c r="K5" s="167" t="s">
        <v>14</v>
      </c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R5" s="18"/>
      <c r="BE5" s="164" t="s">
        <v>15</v>
      </c>
      <c r="BS5" s="15" t="s">
        <v>6</v>
      </c>
    </row>
    <row r="6" spans="1:74" ht="36.950000000000003" customHeight="1">
      <c r="B6" s="18"/>
      <c r="D6" s="24" t="s">
        <v>16</v>
      </c>
      <c r="K6" s="169" t="s">
        <v>17</v>
      </c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R6" s="18"/>
      <c r="BE6" s="165"/>
      <c r="BS6" s="15" t="s">
        <v>6</v>
      </c>
    </row>
    <row r="7" spans="1:74" ht="12" customHeight="1">
      <c r="B7" s="18"/>
      <c r="D7" s="25" t="s">
        <v>18</v>
      </c>
      <c r="K7" s="23" t="s">
        <v>1</v>
      </c>
      <c r="AK7" s="25" t="s">
        <v>19</v>
      </c>
      <c r="AN7" s="23" t="s">
        <v>1</v>
      </c>
      <c r="AR7" s="18"/>
      <c r="BE7" s="165"/>
      <c r="BS7" s="15" t="s">
        <v>6</v>
      </c>
    </row>
    <row r="8" spans="1:74" ht="12" customHeight="1">
      <c r="B8" s="18"/>
      <c r="D8" s="25" t="s">
        <v>20</v>
      </c>
      <c r="K8" s="23" t="s">
        <v>21</v>
      </c>
      <c r="AK8" s="25" t="s">
        <v>22</v>
      </c>
      <c r="AN8" s="26" t="s">
        <v>30</v>
      </c>
      <c r="AR8" s="18"/>
      <c r="BE8" s="165"/>
      <c r="BS8" s="15" t="s">
        <v>6</v>
      </c>
    </row>
    <row r="9" spans="1:74" ht="14.45" customHeight="1">
      <c r="B9" s="18"/>
      <c r="AR9" s="18"/>
      <c r="BE9" s="165"/>
      <c r="BS9" s="15" t="s">
        <v>6</v>
      </c>
    </row>
    <row r="10" spans="1:74" ht="12" customHeight="1">
      <c r="B10" s="18"/>
      <c r="D10" s="25" t="s">
        <v>23</v>
      </c>
      <c r="AK10" s="25" t="s">
        <v>24</v>
      </c>
      <c r="AN10" s="23" t="s">
        <v>25</v>
      </c>
      <c r="AR10" s="18"/>
      <c r="BE10" s="165"/>
      <c r="BS10" s="15" t="s">
        <v>6</v>
      </c>
    </row>
    <row r="11" spans="1:74" ht="18.399999999999999" customHeight="1">
      <c r="B11" s="18"/>
      <c r="E11" s="23" t="s">
        <v>26</v>
      </c>
      <c r="AK11" s="25" t="s">
        <v>27</v>
      </c>
      <c r="AN11" s="23" t="s">
        <v>28</v>
      </c>
      <c r="AR11" s="18"/>
      <c r="BE11" s="165"/>
      <c r="BS11" s="15" t="s">
        <v>6</v>
      </c>
    </row>
    <row r="12" spans="1:74" ht="6.95" customHeight="1">
      <c r="B12" s="18"/>
      <c r="AR12" s="18"/>
      <c r="BE12" s="165"/>
      <c r="BS12" s="15" t="s">
        <v>6</v>
      </c>
    </row>
    <row r="13" spans="1:74" ht="12" customHeight="1">
      <c r="B13" s="18"/>
      <c r="D13" s="25" t="s">
        <v>29</v>
      </c>
      <c r="AK13" s="25" t="s">
        <v>24</v>
      </c>
      <c r="AN13" s="27" t="s">
        <v>30</v>
      </c>
      <c r="AR13" s="18"/>
      <c r="BE13" s="165"/>
      <c r="BS13" s="15" t="s">
        <v>6</v>
      </c>
    </row>
    <row r="14" spans="1:74" ht="12.75">
      <c r="B14" s="18"/>
      <c r="E14" s="170" t="s">
        <v>30</v>
      </c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25" t="s">
        <v>27</v>
      </c>
      <c r="AN14" s="27" t="s">
        <v>30</v>
      </c>
      <c r="AR14" s="18"/>
      <c r="BE14" s="165"/>
      <c r="BS14" s="15" t="s">
        <v>6</v>
      </c>
    </row>
    <row r="15" spans="1:74" ht="6.95" customHeight="1">
      <c r="B15" s="18"/>
      <c r="AR15" s="18"/>
      <c r="BE15" s="165"/>
      <c r="BS15" s="15" t="s">
        <v>4</v>
      </c>
    </row>
    <row r="16" spans="1:74" ht="12" customHeight="1">
      <c r="B16" s="18"/>
      <c r="D16" s="25" t="s">
        <v>31</v>
      </c>
      <c r="AK16" s="25" t="s">
        <v>24</v>
      </c>
      <c r="AN16" s="23" t="s">
        <v>32</v>
      </c>
      <c r="AR16" s="18"/>
      <c r="BE16" s="165"/>
      <c r="BS16" s="15" t="s">
        <v>4</v>
      </c>
    </row>
    <row r="17" spans="2:71" ht="18.399999999999999" customHeight="1">
      <c r="B17" s="18"/>
      <c r="E17" s="23" t="s">
        <v>33</v>
      </c>
      <c r="AK17" s="25" t="s">
        <v>27</v>
      </c>
      <c r="AN17" s="23" t="s">
        <v>34</v>
      </c>
      <c r="AR17" s="18"/>
      <c r="BE17" s="165"/>
      <c r="BS17" s="15" t="s">
        <v>35</v>
      </c>
    </row>
    <row r="18" spans="2:71" ht="6.95" customHeight="1">
      <c r="B18" s="18"/>
      <c r="AR18" s="18"/>
      <c r="BE18" s="165"/>
      <c r="BS18" s="15" t="s">
        <v>6</v>
      </c>
    </row>
    <row r="19" spans="2:71" ht="12" customHeight="1">
      <c r="B19" s="18"/>
      <c r="D19" s="25" t="s">
        <v>36</v>
      </c>
      <c r="AK19" s="25" t="s">
        <v>24</v>
      </c>
      <c r="AN19" s="23" t="s">
        <v>1</v>
      </c>
      <c r="AR19" s="18"/>
      <c r="BE19" s="165"/>
      <c r="BS19" s="15" t="s">
        <v>6</v>
      </c>
    </row>
    <row r="20" spans="2:71" ht="18.399999999999999" customHeight="1">
      <c r="B20" s="18"/>
      <c r="E20" s="23" t="s">
        <v>37</v>
      </c>
      <c r="AK20" s="25" t="s">
        <v>27</v>
      </c>
      <c r="AN20" s="23" t="s">
        <v>1</v>
      </c>
      <c r="AR20" s="18"/>
      <c r="BE20" s="165"/>
      <c r="BS20" s="15" t="s">
        <v>35</v>
      </c>
    </row>
    <row r="21" spans="2:71" ht="6.95" customHeight="1">
      <c r="B21" s="18"/>
      <c r="AR21" s="18"/>
      <c r="BE21" s="165"/>
    </row>
    <row r="22" spans="2:71" ht="12" customHeight="1">
      <c r="B22" s="18"/>
      <c r="D22" s="25" t="s">
        <v>38</v>
      </c>
      <c r="AR22" s="18"/>
      <c r="BE22" s="165"/>
    </row>
    <row r="23" spans="2:71" ht="16.5" customHeight="1">
      <c r="B23" s="18"/>
      <c r="E23" s="172" t="s">
        <v>39</v>
      </c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R23" s="18"/>
      <c r="BE23" s="165"/>
    </row>
    <row r="24" spans="2:71" ht="6.95" customHeight="1">
      <c r="B24" s="18"/>
      <c r="AR24" s="18"/>
      <c r="BE24" s="165"/>
    </row>
    <row r="25" spans="2:71" ht="6.95" customHeight="1">
      <c r="B25" s="18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R25" s="18"/>
      <c r="BE25" s="165"/>
    </row>
    <row r="26" spans="2:71" s="1" customFormat="1" ht="25.9" customHeight="1">
      <c r="B26" s="30"/>
      <c r="D26" s="31" t="s">
        <v>40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173">
        <f>ROUND(AG94,2)</f>
        <v>0</v>
      </c>
      <c r="AL26" s="174"/>
      <c r="AM26" s="174"/>
      <c r="AN26" s="174"/>
      <c r="AO26" s="174"/>
      <c r="AR26" s="30"/>
      <c r="BE26" s="165"/>
    </row>
    <row r="27" spans="2:71" s="1" customFormat="1" ht="6.95" customHeight="1">
      <c r="B27" s="30"/>
      <c r="AR27" s="30"/>
      <c r="BE27" s="165"/>
    </row>
    <row r="28" spans="2:71" s="1" customFormat="1" ht="12.75">
      <c r="B28" s="30"/>
      <c r="L28" s="175" t="s">
        <v>41</v>
      </c>
      <c r="M28" s="175"/>
      <c r="N28" s="175"/>
      <c r="O28" s="175"/>
      <c r="P28" s="175"/>
      <c r="W28" s="175" t="s">
        <v>42</v>
      </c>
      <c r="X28" s="175"/>
      <c r="Y28" s="175"/>
      <c r="Z28" s="175"/>
      <c r="AA28" s="175"/>
      <c r="AB28" s="175"/>
      <c r="AC28" s="175"/>
      <c r="AD28" s="175"/>
      <c r="AE28" s="175"/>
      <c r="AK28" s="175" t="s">
        <v>43</v>
      </c>
      <c r="AL28" s="175"/>
      <c r="AM28" s="175"/>
      <c r="AN28" s="175"/>
      <c r="AO28" s="175"/>
      <c r="AR28" s="30"/>
      <c r="BE28" s="165"/>
    </row>
    <row r="29" spans="2:71" s="2" customFormat="1" ht="14.45" customHeight="1">
      <c r="B29" s="34"/>
      <c r="D29" s="25" t="s">
        <v>44</v>
      </c>
      <c r="F29" s="25" t="s">
        <v>45</v>
      </c>
      <c r="L29" s="178">
        <v>0.21</v>
      </c>
      <c r="M29" s="177"/>
      <c r="N29" s="177"/>
      <c r="O29" s="177"/>
      <c r="P29" s="177"/>
      <c r="W29" s="176">
        <f>ROUND(AZ94, 2)</f>
        <v>0</v>
      </c>
      <c r="X29" s="177"/>
      <c r="Y29" s="177"/>
      <c r="Z29" s="177"/>
      <c r="AA29" s="177"/>
      <c r="AB29" s="177"/>
      <c r="AC29" s="177"/>
      <c r="AD29" s="177"/>
      <c r="AE29" s="177"/>
      <c r="AK29" s="176">
        <f>ROUND(AV94, 2)</f>
        <v>0</v>
      </c>
      <c r="AL29" s="177"/>
      <c r="AM29" s="177"/>
      <c r="AN29" s="177"/>
      <c r="AO29" s="177"/>
      <c r="AR29" s="34"/>
      <c r="BE29" s="166"/>
    </row>
    <row r="30" spans="2:71" s="2" customFormat="1" ht="14.45" customHeight="1">
      <c r="B30" s="34"/>
      <c r="F30" s="25" t="s">
        <v>46</v>
      </c>
      <c r="L30" s="178">
        <v>0.12</v>
      </c>
      <c r="M30" s="177"/>
      <c r="N30" s="177"/>
      <c r="O30" s="177"/>
      <c r="P30" s="177"/>
      <c r="W30" s="176">
        <f>ROUND(BA94, 2)</f>
        <v>0</v>
      </c>
      <c r="X30" s="177"/>
      <c r="Y30" s="177"/>
      <c r="Z30" s="177"/>
      <c r="AA30" s="177"/>
      <c r="AB30" s="177"/>
      <c r="AC30" s="177"/>
      <c r="AD30" s="177"/>
      <c r="AE30" s="177"/>
      <c r="AK30" s="176">
        <f>ROUND(AW94, 2)</f>
        <v>0</v>
      </c>
      <c r="AL30" s="177"/>
      <c r="AM30" s="177"/>
      <c r="AN30" s="177"/>
      <c r="AO30" s="177"/>
      <c r="AR30" s="34"/>
      <c r="BE30" s="166"/>
    </row>
    <row r="31" spans="2:71" s="2" customFormat="1" ht="14.45" hidden="1" customHeight="1">
      <c r="B31" s="34"/>
      <c r="F31" s="25" t="s">
        <v>47</v>
      </c>
      <c r="L31" s="178">
        <v>0.21</v>
      </c>
      <c r="M31" s="177"/>
      <c r="N31" s="177"/>
      <c r="O31" s="177"/>
      <c r="P31" s="177"/>
      <c r="W31" s="176">
        <f>ROUND(BB94, 2)</f>
        <v>0</v>
      </c>
      <c r="X31" s="177"/>
      <c r="Y31" s="177"/>
      <c r="Z31" s="177"/>
      <c r="AA31" s="177"/>
      <c r="AB31" s="177"/>
      <c r="AC31" s="177"/>
      <c r="AD31" s="177"/>
      <c r="AE31" s="177"/>
      <c r="AK31" s="176">
        <v>0</v>
      </c>
      <c r="AL31" s="177"/>
      <c r="AM31" s="177"/>
      <c r="AN31" s="177"/>
      <c r="AO31" s="177"/>
      <c r="AR31" s="34"/>
      <c r="BE31" s="166"/>
    </row>
    <row r="32" spans="2:71" s="2" customFormat="1" ht="14.45" hidden="1" customHeight="1">
      <c r="B32" s="34"/>
      <c r="F32" s="25" t="s">
        <v>48</v>
      </c>
      <c r="L32" s="178">
        <v>0.12</v>
      </c>
      <c r="M32" s="177"/>
      <c r="N32" s="177"/>
      <c r="O32" s="177"/>
      <c r="P32" s="177"/>
      <c r="W32" s="176">
        <f>ROUND(BC94, 2)</f>
        <v>0</v>
      </c>
      <c r="X32" s="177"/>
      <c r="Y32" s="177"/>
      <c r="Z32" s="177"/>
      <c r="AA32" s="177"/>
      <c r="AB32" s="177"/>
      <c r="AC32" s="177"/>
      <c r="AD32" s="177"/>
      <c r="AE32" s="177"/>
      <c r="AK32" s="176">
        <v>0</v>
      </c>
      <c r="AL32" s="177"/>
      <c r="AM32" s="177"/>
      <c r="AN32" s="177"/>
      <c r="AO32" s="177"/>
      <c r="AR32" s="34"/>
      <c r="BE32" s="166"/>
    </row>
    <row r="33" spans="2:57" s="2" customFormat="1" ht="14.45" hidden="1" customHeight="1">
      <c r="B33" s="34"/>
      <c r="F33" s="25" t="s">
        <v>49</v>
      </c>
      <c r="L33" s="178">
        <v>0</v>
      </c>
      <c r="M33" s="177"/>
      <c r="N33" s="177"/>
      <c r="O33" s="177"/>
      <c r="P33" s="177"/>
      <c r="W33" s="176">
        <f>ROUND(BD94, 2)</f>
        <v>0</v>
      </c>
      <c r="X33" s="177"/>
      <c r="Y33" s="177"/>
      <c r="Z33" s="177"/>
      <c r="AA33" s="177"/>
      <c r="AB33" s="177"/>
      <c r="AC33" s="177"/>
      <c r="AD33" s="177"/>
      <c r="AE33" s="177"/>
      <c r="AK33" s="176">
        <v>0</v>
      </c>
      <c r="AL33" s="177"/>
      <c r="AM33" s="177"/>
      <c r="AN33" s="177"/>
      <c r="AO33" s="177"/>
      <c r="AR33" s="34"/>
      <c r="BE33" s="166"/>
    </row>
    <row r="34" spans="2:57" s="1" customFormat="1" ht="6.95" customHeight="1">
      <c r="B34" s="30"/>
      <c r="AR34" s="30"/>
      <c r="BE34" s="165"/>
    </row>
    <row r="35" spans="2:57" s="1" customFormat="1" ht="25.9" customHeight="1">
      <c r="B35" s="30"/>
      <c r="C35" s="35"/>
      <c r="D35" s="36" t="s">
        <v>50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8" t="s">
        <v>51</v>
      </c>
      <c r="U35" s="37"/>
      <c r="V35" s="37"/>
      <c r="W35" s="37"/>
      <c r="X35" s="179" t="s">
        <v>52</v>
      </c>
      <c r="Y35" s="180"/>
      <c r="Z35" s="180"/>
      <c r="AA35" s="180"/>
      <c r="AB35" s="180"/>
      <c r="AC35" s="37"/>
      <c r="AD35" s="37"/>
      <c r="AE35" s="37"/>
      <c r="AF35" s="37"/>
      <c r="AG35" s="37"/>
      <c r="AH35" s="37"/>
      <c r="AI35" s="37"/>
      <c r="AJ35" s="37"/>
      <c r="AK35" s="181">
        <f>SUM(AK26:AK33)</f>
        <v>0</v>
      </c>
      <c r="AL35" s="180"/>
      <c r="AM35" s="180"/>
      <c r="AN35" s="180"/>
      <c r="AO35" s="182"/>
      <c r="AP35" s="35"/>
      <c r="AQ35" s="35"/>
      <c r="AR35" s="30"/>
    </row>
    <row r="36" spans="2:57" s="1" customFormat="1" ht="6.95" customHeight="1">
      <c r="B36" s="30"/>
      <c r="AR36" s="30"/>
    </row>
    <row r="37" spans="2:57" s="1" customFormat="1" ht="14.45" customHeight="1">
      <c r="B37" s="30"/>
      <c r="AR37" s="30"/>
    </row>
    <row r="38" spans="2:57" ht="14.45" customHeight="1">
      <c r="B38" s="18"/>
      <c r="AR38" s="18"/>
    </row>
    <row r="39" spans="2:57" ht="14.45" customHeight="1">
      <c r="B39" s="18"/>
      <c r="AR39" s="18"/>
    </row>
    <row r="40" spans="2:57" ht="14.45" customHeight="1">
      <c r="B40" s="18"/>
      <c r="AR40" s="18"/>
    </row>
    <row r="41" spans="2:57" ht="14.45" customHeight="1">
      <c r="B41" s="18"/>
      <c r="AR41" s="18"/>
    </row>
    <row r="42" spans="2:57" ht="14.45" customHeight="1">
      <c r="B42" s="18"/>
      <c r="AR42" s="18"/>
    </row>
    <row r="43" spans="2:57" ht="14.45" customHeight="1">
      <c r="B43" s="18"/>
      <c r="AR43" s="18"/>
    </row>
    <row r="44" spans="2:57" ht="14.45" customHeight="1">
      <c r="B44" s="18"/>
      <c r="AR44" s="18"/>
    </row>
    <row r="45" spans="2:57" ht="14.45" customHeight="1">
      <c r="B45" s="18"/>
      <c r="AR45" s="18"/>
    </row>
    <row r="46" spans="2:57" ht="14.45" customHeight="1">
      <c r="B46" s="18"/>
      <c r="AR46" s="18"/>
    </row>
    <row r="47" spans="2:57" ht="14.45" customHeight="1">
      <c r="B47" s="18"/>
      <c r="AR47" s="18"/>
    </row>
    <row r="48" spans="2:57" ht="14.45" customHeight="1">
      <c r="B48" s="18"/>
      <c r="AR48" s="18"/>
    </row>
    <row r="49" spans="2:44" s="1" customFormat="1" ht="14.45" customHeight="1">
      <c r="B49" s="30"/>
      <c r="D49" s="39" t="s">
        <v>53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39" t="s">
        <v>54</v>
      </c>
      <c r="AI49" s="40"/>
      <c r="AJ49" s="40"/>
      <c r="AK49" s="40"/>
      <c r="AL49" s="40"/>
      <c r="AM49" s="40"/>
      <c r="AN49" s="40"/>
      <c r="AO49" s="40"/>
      <c r="AR49" s="30"/>
    </row>
    <row r="50" spans="2:44" ht="11.25">
      <c r="B50" s="18"/>
      <c r="AR50" s="18"/>
    </row>
    <row r="51" spans="2:44" ht="11.25">
      <c r="B51" s="18"/>
      <c r="AR51" s="18"/>
    </row>
    <row r="52" spans="2:44" ht="11.25">
      <c r="B52" s="18"/>
      <c r="AR52" s="18"/>
    </row>
    <row r="53" spans="2:44" ht="11.25">
      <c r="B53" s="18"/>
      <c r="AR53" s="18"/>
    </row>
    <row r="54" spans="2:44" ht="11.25">
      <c r="B54" s="18"/>
      <c r="AR54" s="18"/>
    </row>
    <row r="55" spans="2:44" ht="11.25">
      <c r="B55" s="18"/>
      <c r="AR55" s="18"/>
    </row>
    <row r="56" spans="2:44" ht="11.25">
      <c r="B56" s="18"/>
      <c r="AR56" s="18"/>
    </row>
    <row r="57" spans="2:44" ht="11.25">
      <c r="B57" s="18"/>
      <c r="AR57" s="18"/>
    </row>
    <row r="58" spans="2:44" ht="11.25">
      <c r="B58" s="18"/>
      <c r="AR58" s="18"/>
    </row>
    <row r="59" spans="2:44" ht="11.25">
      <c r="B59" s="18"/>
      <c r="AR59" s="18"/>
    </row>
    <row r="60" spans="2:44" s="1" customFormat="1" ht="12.75">
      <c r="B60" s="30"/>
      <c r="D60" s="41" t="s">
        <v>55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41" t="s">
        <v>56</v>
      </c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41" t="s">
        <v>55</v>
      </c>
      <c r="AI60" s="32"/>
      <c r="AJ60" s="32"/>
      <c r="AK60" s="32"/>
      <c r="AL60" s="32"/>
      <c r="AM60" s="41" t="s">
        <v>56</v>
      </c>
      <c r="AN60" s="32"/>
      <c r="AO60" s="32"/>
      <c r="AR60" s="30"/>
    </row>
    <row r="61" spans="2:44" ht="11.25">
      <c r="B61" s="18"/>
      <c r="AR61" s="18"/>
    </row>
    <row r="62" spans="2:44" ht="11.25">
      <c r="B62" s="18"/>
      <c r="AR62" s="18"/>
    </row>
    <row r="63" spans="2:44" ht="11.25">
      <c r="B63" s="18"/>
      <c r="AR63" s="18"/>
    </row>
    <row r="64" spans="2:44" s="1" customFormat="1" ht="12.75">
      <c r="B64" s="30"/>
      <c r="D64" s="39" t="s">
        <v>57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39" t="s">
        <v>58</v>
      </c>
      <c r="AI64" s="40"/>
      <c r="AJ64" s="40"/>
      <c r="AK64" s="40"/>
      <c r="AL64" s="40"/>
      <c r="AM64" s="40"/>
      <c r="AN64" s="40"/>
      <c r="AO64" s="40"/>
      <c r="AR64" s="30"/>
    </row>
    <row r="65" spans="2:44" ht="11.25">
      <c r="B65" s="18"/>
      <c r="AR65" s="18"/>
    </row>
    <row r="66" spans="2:44" ht="11.25">
      <c r="B66" s="18"/>
      <c r="AR66" s="18"/>
    </row>
    <row r="67" spans="2:44" ht="11.25">
      <c r="B67" s="18"/>
      <c r="AR67" s="18"/>
    </row>
    <row r="68" spans="2:44" ht="11.25">
      <c r="B68" s="18"/>
      <c r="AR68" s="18"/>
    </row>
    <row r="69" spans="2:44" ht="11.25">
      <c r="B69" s="18"/>
      <c r="AR69" s="18"/>
    </row>
    <row r="70" spans="2:44" ht="11.25">
      <c r="B70" s="18"/>
      <c r="AR70" s="18"/>
    </row>
    <row r="71" spans="2:44" ht="11.25">
      <c r="B71" s="18"/>
      <c r="AR71" s="18"/>
    </row>
    <row r="72" spans="2:44" ht="11.25">
      <c r="B72" s="18"/>
      <c r="AR72" s="18"/>
    </row>
    <row r="73" spans="2:44" ht="11.25">
      <c r="B73" s="18"/>
      <c r="AR73" s="18"/>
    </row>
    <row r="74" spans="2:44" ht="11.25">
      <c r="B74" s="18"/>
      <c r="AR74" s="18"/>
    </row>
    <row r="75" spans="2:44" s="1" customFormat="1" ht="12.75">
      <c r="B75" s="30"/>
      <c r="D75" s="41" t="s">
        <v>55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41" t="s">
        <v>56</v>
      </c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41" t="s">
        <v>55</v>
      </c>
      <c r="AI75" s="32"/>
      <c r="AJ75" s="32"/>
      <c r="AK75" s="32"/>
      <c r="AL75" s="32"/>
      <c r="AM75" s="41" t="s">
        <v>56</v>
      </c>
      <c r="AN75" s="32"/>
      <c r="AO75" s="32"/>
      <c r="AR75" s="30"/>
    </row>
    <row r="76" spans="2:44" s="1" customFormat="1" ht="11.25">
      <c r="B76" s="30"/>
      <c r="AR76" s="30"/>
    </row>
    <row r="77" spans="2:44" s="1" customFormat="1" ht="6.95" customHeight="1">
      <c r="B77" s="42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30"/>
    </row>
    <row r="81" spans="1:91" s="1" customFormat="1" ht="6.95" customHeight="1">
      <c r="B81" s="44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30"/>
    </row>
    <row r="82" spans="1:91" s="1" customFormat="1" ht="24.95" customHeight="1">
      <c r="B82" s="30"/>
      <c r="C82" s="19" t="s">
        <v>59</v>
      </c>
      <c r="AR82" s="30"/>
    </row>
    <row r="83" spans="1:91" s="1" customFormat="1" ht="6.95" customHeight="1">
      <c r="B83" s="30"/>
      <c r="AR83" s="30"/>
    </row>
    <row r="84" spans="1:91" s="3" customFormat="1" ht="12" customHeight="1">
      <c r="B84" s="46"/>
      <c r="C84" s="25" t="s">
        <v>13</v>
      </c>
      <c r="L84" s="3" t="str">
        <f>K5</f>
        <v>CB_II/634-001</v>
      </c>
      <c r="AR84" s="46"/>
    </row>
    <row r="85" spans="1:91" s="4" customFormat="1" ht="36.950000000000003" customHeight="1">
      <c r="B85" s="47"/>
      <c r="C85" s="48" t="s">
        <v>16</v>
      </c>
      <c r="L85" s="183" t="str">
        <f>K6</f>
        <v>Oprava silnice II/634 Rudolfov-Klauda</v>
      </c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R85" s="47"/>
    </row>
    <row r="86" spans="1:91" s="1" customFormat="1" ht="6.95" customHeight="1">
      <c r="B86" s="30"/>
      <c r="AR86" s="30"/>
    </row>
    <row r="87" spans="1:91" s="1" customFormat="1" ht="12" customHeight="1">
      <c r="B87" s="30"/>
      <c r="C87" s="25" t="s">
        <v>20</v>
      </c>
      <c r="L87" s="49" t="str">
        <f>IF(K8="","",K8)</f>
        <v>Rudolfov-Klauda</v>
      </c>
      <c r="AI87" s="25" t="s">
        <v>22</v>
      </c>
      <c r="AM87" s="185" t="str">
        <f>IF(AN8= "","",AN8)</f>
        <v>Vyplň údaj</v>
      </c>
      <c r="AN87" s="185"/>
      <c r="AR87" s="30"/>
    </row>
    <row r="88" spans="1:91" s="1" customFormat="1" ht="6.95" customHeight="1">
      <c r="B88" s="30"/>
      <c r="AR88" s="30"/>
    </row>
    <row r="89" spans="1:91" s="1" customFormat="1" ht="25.7" customHeight="1">
      <c r="B89" s="30"/>
      <c r="C89" s="25" t="s">
        <v>23</v>
      </c>
      <c r="L89" s="3" t="str">
        <f>IF(E11= "","",E11)</f>
        <v>Jihočeský kraj</v>
      </c>
      <c r="AI89" s="25" t="s">
        <v>31</v>
      </c>
      <c r="AM89" s="186" t="str">
        <f>IF(E17="","",E17)</f>
        <v>Správa a údržba silnic Jihočeského kraje p.o.</v>
      </c>
      <c r="AN89" s="187"/>
      <c r="AO89" s="187"/>
      <c r="AP89" s="187"/>
      <c r="AR89" s="30"/>
      <c r="AS89" s="188" t="s">
        <v>60</v>
      </c>
      <c r="AT89" s="189"/>
      <c r="AU89" s="51"/>
      <c r="AV89" s="51"/>
      <c r="AW89" s="51"/>
      <c r="AX89" s="51"/>
      <c r="AY89" s="51"/>
      <c r="AZ89" s="51"/>
      <c r="BA89" s="51"/>
      <c r="BB89" s="51"/>
      <c r="BC89" s="51"/>
      <c r="BD89" s="52"/>
    </row>
    <row r="90" spans="1:91" s="1" customFormat="1" ht="15.2" customHeight="1">
      <c r="B90" s="30"/>
      <c r="C90" s="25" t="s">
        <v>29</v>
      </c>
      <c r="L90" s="3" t="str">
        <f>IF(E14= "Vyplň údaj","",E14)</f>
        <v/>
      </c>
      <c r="AI90" s="25" t="s">
        <v>36</v>
      </c>
      <c r="AM90" s="186" t="str">
        <f>IF(E20="","",E20)</f>
        <v>Petr Nachtigal 606 633 836</v>
      </c>
      <c r="AN90" s="187"/>
      <c r="AO90" s="187"/>
      <c r="AP90" s="187"/>
      <c r="AR90" s="30"/>
      <c r="AS90" s="190"/>
      <c r="AT90" s="191"/>
      <c r="BD90" s="54"/>
    </row>
    <row r="91" spans="1:91" s="1" customFormat="1" ht="10.9" customHeight="1">
      <c r="B91" s="30"/>
      <c r="AR91" s="30"/>
      <c r="AS91" s="190"/>
      <c r="AT91" s="191"/>
      <c r="BD91" s="54"/>
    </row>
    <row r="92" spans="1:91" s="1" customFormat="1" ht="29.25" customHeight="1">
      <c r="B92" s="30"/>
      <c r="C92" s="192" t="s">
        <v>61</v>
      </c>
      <c r="D92" s="193"/>
      <c r="E92" s="193"/>
      <c r="F92" s="193"/>
      <c r="G92" s="193"/>
      <c r="H92" s="55"/>
      <c r="I92" s="194" t="s">
        <v>62</v>
      </c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5" t="s">
        <v>63</v>
      </c>
      <c r="AH92" s="193"/>
      <c r="AI92" s="193"/>
      <c r="AJ92" s="193"/>
      <c r="AK92" s="193"/>
      <c r="AL92" s="193"/>
      <c r="AM92" s="193"/>
      <c r="AN92" s="194" t="s">
        <v>64</v>
      </c>
      <c r="AO92" s="193"/>
      <c r="AP92" s="196"/>
      <c r="AQ92" s="56" t="s">
        <v>65</v>
      </c>
      <c r="AR92" s="30"/>
      <c r="AS92" s="57" t="s">
        <v>66</v>
      </c>
      <c r="AT92" s="58" t="s">
        <v>67</v>
      </c>
      <c r="AU92" s="58" t="s">
        <v>68</v>
      </c>
      <c r="AV92" s="58" t="s">
        <v>69</v>
      </c>
      <c r="AW92" s="58" t="s">
        <v>70</v>
      </c>
      <c r="AX92" s="58" t="s">
        <v>71</v>
      </c>
      <c r="AY92" s="58" t="s">
        <v>72</v>
      </c>
      <c r="AZ92" s="58" t="s">
        <v>73</v>
      </c>
      <c r="BA92" s="58" t="s">
        <v>74</v>
      </c>
      <c r="BB92" s="58" t="s">
        <v>75</v>
      </c>
      <c r="BC92" s="58" t="s">
        <v>76</v>
      </c>
      <c r="BD92" s="59" t="s">
        <v>77</v>
      </c>
    </row>
    <row r="93" spans="1:91" s="1" customFormat="1" ht="10.9" customHeight="1">
      <c r="B93" s="30"/>
      <c r="AR93" s="30"/>
      <c r="AS93" s="60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2"/>
    </row>
    <row r="94" spans="1:91" s="5" customFormat="1" ht="32.450000000000003" customHeight="1">
      <c r="B94" s="61"/>
      <c r="C94" s="62" t="s">
        <v>78</v>
      </c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200">
        <f>ROUND(SUM(AG95:AG97),2)</f>
        <v>0</v>
      </c>
      <c r="AH94" s="200"/>
      <c r="AI94" s="200"/>
      <c r="AJ94" s="200"/>
      <c r="AK94" s="200"/>
      <c r="AL94" s="200"/>
      <c r="AM94" s="200"/>
      <c r="AN94" s="201">
        <f>SUM(AG94,AT94)</f>
        <v>0</v>
      </c>
      <c r="AO94" s="201"/>
      <c r="AP94" s="201"/>
      <c r="AQ94" s="65" t="s">
        <v>1</v>
      </c>
      <c r="AR94" s="61"/>
      <c r="AS94" s="66">
        <f>ROUND(SUM(AS95:AS97),2)</f>
        <v>0</v>
      </c>
      <c r="AT94" s="67">
        <f>ROUND(SUM(AV94:AW94),2)</f>
        <v>0</v>
      </c>
      <c r="AU94" s="68">
        <f>ROUND(SUM(AU95:AU97),5)</f>
        <v>0</v>
      </c>
      <c r="AV94" s="67">
        <f>ROUND(AZ94*L29,2)</f>
        <v>0</v>
      </c>
      <c r="AW94" s="67">
        <f>ROUND(BA94*L30,2)</f>
        <v>0</v>
      </c>
      <c r="AX94" s="67">
        <f>ROUND(BB94*L29,2)</f>
        <v>0</v>
      </c>
      <c r="AY94" s="67">
        <f>ROUND(BC94*L30,2)</f>
        <v>0</v>
      </c>
      <c r="AZ94" s="67">
        <f>ROUND(SUM(AZ95:AZ97),2)</f>
        <v>0</v>
      </c>
      <c r="BA94" s="67">
        <f>ROUND(SUM(BA95:BA97),2)</f>
        <v>0</v>
      </c>
      <c r="BB94" s="67">
        <f>ROUND(SUM(BB95:BB97),2)</f>
        <v>0</v>
      </c>
      <c r="BC94" s="67">
        <f>ROUND(SUM(BC95:BC97),2)</f>
        <v>0</v>
      </c>
      <c r="BD94" s="69">
        <f>ROUND(SUM(BD95:BD97),2)</f>
        <v>0</v>
      </c>
      <c r="BS94" s="70" t="s">
        <v>79</v>
      </c>
      <c r="BT94" s="70" t="s">
        <v>80</v>
      </c>
      <c r="BU94" s="71" t="s">
        <v>81</v>
      </c>
      <c r="BV94" s="70" t="s">
        <v>82</v>
      </c>
      <c r="BW94" s="70" t="s">
        <v>5</v>
      </c>
      <c r="BX94" s="70" t="s">
        <v>83</v>
      </c>
      <c r="CL94" s="70" t="s">
        <v>1</v>
      </c>
    </row>
    <row r="95" spans="1:91" s="6" customFormat="1" ht="24.75" customHeight="1">
      <c r="A95" s="72" t="s">
        <v>84</v>
      </c>
      <c r="B95" s="73"/>
      <c r="C95" s="74"/>
      <c r="D95" s="199" t="s">
        <v>85</v>
      </c>
      <c r="E95" s="199"/>
      <c r="F95" s="199"/>
      <c r="G95" s="199"/>
      <c r="H95" s="199"/>
      <c r="I95" s="75"/>
      <c r="J95" s="199" t="s">
        <v>86</v>
      </c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  <c r="AC95" s="199"/>
      <c r="AD95" s="199"/>
      <c r="AE95" s="199"/>
      <c r="AF95" s="199"/>
      <c r="AG95" s="197">
        <f>'SO101 - Oprava silniceII-...'!J30</f>
        <v>0</v>
      </c>
      <c r="AH95" s="198"/>
      <c r="AI95" s="198"/>
      <c r="AJ95" s="198"/>
      <c r="AK95" s="198"/>
      <c r="AL95" s="198"/>
      <c r="AM95" s="198"/>
      <c r="AN95" s="197">
        <f>SUM(AG95,AT95)</f>
        <v>0</v>
      </c>
      <c r="AO95" s="198"/>
      <c r="AP95" s="198"/>
      <c r="AQ95" s="76" t="s">
        <v>87</v>
      </c>
      <c r="AR95" s="73"/>
      <c r="AS95" s="77">
        <v>0</v>
      </c>
      <c r="AT95" s="78">
        <f>ROUND(SUM(AV95:AW95),2)</f>
        <v>0</v>
      </c>
      <c r="AU95" s="79">
        <f>'SO101 - Oprava silniceII-...'!P122</f>
        <v>0</v>
      </c>
      <c r="AV95" s="78">
        <f>'SO101 - Oprava silniceII-...'!J33</f>
        <v>0</v>
      </c>
      <c r="AW95" s="78">
        <f>'SO101 - Oprava silniceII-...'!J34</f>
        <v>0</v>
      </c>
      <c r="AX95" s="78">
        <f>'SO101 - Oprava silniceII-...'!J35</f>
        <v>0</v>
      </c>
      <c r="AY95" s="78">
        <f>'SO101 - Oprava silniceII-...'!J36</f>
        <v>0</v>
      </c>
      <c r="AZ95" s="78">
        <f>'SO101 - Oprava silniceII-...'!F33</f>
        <v>0</v>
      </c>
      <c r="BA95" s="78">
        <f>'SO101 - Oprava silniceII-...'!F34</f>
        <v>0</v>
      </c>
      <c r="BB95" s="78">
        <f>'SO101 - Oprava silniceII-...'!F35</f>
        <v>0</v>
      </c>
      <c r="BC95" s="78">
        <f>'SO101 - Oprava silniceII-...'!F36</f>
        <v>0</v>
      </c>
      <c r="BD95" s="80">
        <f>'SO101 - Oprava silniceII-...'!F37</f>
        <v>0</v>
      </c>
      <c r="BT95" s="81" t="s">
        <v>88</v>
      </c>
      <c r="BV95" s="81" t="s">
        <v>82</v>
      </c>
      <c r="BW95" s="81" t="s">
        <v>89</v>
      </c>
      <c r="BX95" s="81" t="s">
        <v>5</v>
      </c>
      <c r="CL95" s="81" t="s">
        <v>1</v>
      </c>
      <c r="CM95" s="81" t="s">
        <v>90</v>
      </c>
    </row>
    <row r="96" spans="1:91" s="6" customFormat="1" ht="16.5" customHeight="1">
      <c r="A96" s="72" t="s">
        <v>84</v>
      </c>
      <c r="B96" s="73"/>
      <c r="C96" s="74"/>
      <c r="D96" s="199" t="s">
        <v>91</v>
      </c>
      <c r="E96" s="199"/>
      <c r="F96" s="199"/>
      <c r="G96" s="199"/>
      <c r="H96" s="199"/>
      <c r="I96" s="75"/>
      <c r="J96" s="199" t="s">
        <v>92</v>
      </c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  <c r="AB96" s="199"/>
      <c r="AC96" s="199"/>
      <c r="AD96" s="199"/>
      <c r="AE96" s="199"/>
      <c r="AF96" s="199"/>
      <c r="AG96" s="197">
        <f>'SO102 - DIO'!J30</f>
        <v>0</v>
      </c>
      <c r="AH96" s="198"/>
      <c r="AI96" s="198"/>
      <c r="AJ96" s="198"/>
      <c r="AK96" s="198"/>
      <c r="AL96" s="198"/>
      <c r="AM96" s="198"/>
      <c r="AN96" s="197">
        <f>SUM(AG96,AT96)</f>
        <v>0</v>
      </c>
      <c r="AO96" s="198"/>
      <c r="AP96" s="198"/>
      <c r="AQ96" s="76" t="s">
        <v>87</v>
      </c>
      <c r="AR96" s="73"/>
      <c r="AS96" s="77">
        <v>0</v>
      </c>
      <c r="AT96" s="78">
        <f>ROUND(SUM(AV96:AW96),2)</f>
        <v>0</v>
      </c>
      <c r="AU96" s="79">
        <f>'SO102 - DIO'!P119</f>
        <v>0</v>
      </c>
      <c r="AV96" s="78">
        <f>'SO102 - DIO'!J33</f>
        <v>0</v>
      </c>
      <c r="AW96" s="78">
        <f>'SO102 - DIO'!J34</f>
        <v>0</v>
      </c>
      <c r="AX96" s="78">
        <f>'SO102 - DIO'!J35</f>
        <v>0</v>
      </c>
      <c r="AY96" s="78">
        <f>'SO102 - DIO'!J36</f>
        <v>0</v>
      </c>
      <c r="AZ96" s="78">
        <f>'SO102 - DIO'!F33</f>
        <v>0</v>
      </c>
      <c r="BA96" s="78">
        <f>'SO102 - DIO'!F34</f>
        <v>0</v>
      </c>
      <c r="BB96" s="78">
        <f>'SO102 - DIO'!F35</f>
        <v>0</v>
      </c>
      <c r="BC96" s="78">
        <f>'SO102 - DIO'!F36</f>
        <v>0</v>
      </c>
      <c r="BD96" s="80">
        <f>'SO102 - DIO'!F37</f>
        <v>0</v>
      </c>
      <c r="BT96" s="81" t="s">
        <v>88</v>
      </c>
      <c r="BV96" s="81" t="s">
        <v>82</v>
      </c>
      <c r="BW96" s="81" t="s">
        <v>93</v>
      </c>
      <c r="BX96" s="81" t="s">
        <v>5</v>
      </c>
      <c r="CL96" s="81" t="s">
        <v>1</v>
      </c>
      <c r="CM96" s="81" t="s">
        <v>90</v>
      </c>
    </row>
    <row r="97" spans="1:91" s="6" customFormat="1" ht="16.5" customHeight="1">
      <c r="A97" s="72" t="s">
        <v>84</v>
      </c>
      <c r="B97" s="73"/>
      <c r="C97" s="74"/>
      <c r="D97" s="199" t="s">
        <v>94</v>
      </c>
      <c r="E97" s="199"/>
      <c r="F97" s="199"/>
      <c r="G97" s="199"/>
      <c r="H97" s="199"/>
      <c r="I97" s="75"/>
      <c r="J97" s="199" t="s">
        <v>95</v>
      </c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  <c r="AD97" s="199"/>
      <c r="AE97" s="199"/>
      <c r="AF97" s="199"/>
      <c r="AG97" s="197">
        <f>'SO103 - Doplňující údaje '!J30</f>
        <v>0</v>
      </c>
      <c r="AH97" s="198"/>
      <c r="AI97" s="198"/>
      <c r="AJ97" s="198"/>
      <c r="AK97" s="198"/>
      <c r="AL97" s="198"/>
      <c r="AM97" s="198"/>
      <c r="AN97" s="197">
        <f>SUM(AG97,AT97)</f>
        <v>0</v>
      </c>
      <c r="AO97" s="198"/>
      <c r="AP97" s="198"/>
      <c r="AQ97" s="76" t="s">
        <v>87</v>
      </c>
      <c r="AR97" s="73"/>
      <c r="AS97" s="82">
        <v>0</v>
      </c>
      <c r="AT97" s="83">
        <f>ROUND(SUM(AV97:AW97),2)</f>
        <v>0</v>
      </c>
      <c r="AU97" s="84">
        <f>'SO103 - Doplňující údaje '!P117</f>
        <v>0</v>
      </c>
      <c r="AV97" s="83">
        <f>'SO103 - Doplňující údaje '!J33</f>
        <v>0</v>
      </c>
      <c r="AW97" s="83">
        <f>'SO103 - Doplňující údaje '!J34</f>
        <v>0</v>
      </c>
      <c r="AX97" s="83">
        <f>'SO103 - Doplňující údaje '!J35</f>
        <v>0</v>
      </c>
      <c r="AY97" s="83">
        <f>'SO103 - Doplňující údaje '!J36</f>
        <v>0</v>
      </c>
      <c r="AZ97" s="83">
        <f>'SO103 - Doplňující údaje '!F33</f>
        <v>0</v>
      </c>
      <c r="BA97" s="83">
        <f>'SO103 - Doplňující údaje '!F34</f>
        <v>0</v>
      </c>
      <c r="BB97" s="83">
        <f>'SO103 - Doplňující údaje '!F35</f>
        <v>0</v>
      </c>
      <c r="BC97" s="83">
        <f>'SO103 - Doplňující údaje '!F36</f>
        <v>0</v>
      </c>
      <c r="BD97" s="85">
        <f>'SO103 - Doplňující údaje '!F37</f>
        <v>0</v>
      </c>
      <c r="BT97" s="81" t="s">
        <v>88</v>
      </c>
      <c r="BV97" s="81" t="s">
        <v>82</v>
      </c>
      <c r="BW97" s="81" t="s">
        <v>96</v>
      </c>
      <c r="BX97" s="81" t="s">
        <v>5</v>
      </c>
      <c r="CL97" s="81" t="s">
        <v>1</v>
      </c>
      <c r="CM97" s="81" t="s">
        <v>90</v>
      </c>
    </row>
    <row r="98" spans="1:91" s="1" customFormat="1" ht="30" customHeight="1">
      <c r="B98" s="30"/>
      <c r="AR98" s="30"/>
    </row>
    <row r="99" spans="1:91" s="1" customFormat="1" ht="6.95" customHeight="1">
      <c r="B99" s="42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30"/>
    </row>
  </sheetData>
  <sheetProtection algorithmName="SHA-512" hashValue="MV3SVSIqNj4R+jTandlY2RPYa1Si/T9JdvnZ8BVtZsoaE3PppAgFCSi2OvRIKx6DYgKo9GjK03J49FDZdn41uw==" saltValue="+JzDEDGzun63zDOYWr1SUIzSyVsF+nnowsFbBZ24I7vTp12rPx95YQ/K0L+b/pM7deBS0JprxAQIEfPKTopzCw==" spinCount="100000" sheet="1" objects="1" scenarios="1" formatColumns="0" formatRows="0"/>
  <mergeCells count="50">
    <mergeCell ref="AR2:BE2"/>
    <mergeCell ref="AN96:AP96"/>
    <mergeCell ref="AG96:AM96"/>
    <mergeCell ref="D96:H96"/>
    <mergeCell ref="J96:AF96"/>
    <mergeCell ref="AN97:AP97"/>
    <mergeCell ref="AG97:AM97"/>
    <mergeCell ref="D97:H97"/>
    <mergeCell ref="J97:AF97"/>
    <mergeCell ref="C92:G92"/>
    <mergeCell ref="I92:AF92"/>
    <mergeCell ref="AG92:AM92"/>
    <mergeCell ref="AN92:AP92"/>
    <mergeCell ref="AN95:AP95"/>
    <mergeCell ref="AG95:AM95"/>
    <mergeCell ref="D95:H95"/>
    <mergeCell ref="J95:AF95"/>
    <mergeCell ref="AG94:AM94"/>
    <mergeCell ref="AN94:AP94"/>
    <mergeCell ref="L85:AJ85"/>
    <mergeCell ref="AM87:AN87"/>
    <mergeCell ref="AM89:AP89"/>
    <mergeCell ref="AS89:AT91"/>
    <mergeCell ref="AM90:AP90"/>
    <mergeCell ref="W33:AE33"/>
    <mergeCell ref="AK33:AO33"/>
    <mergeCell ref="L33:P33"/>
    <mergeCell ref="X35:AB35"/>
    <mergeCell ref="AK35:AO35"/>
    <mergeCell ref="AK31:AO31"/>
    <mergeCell ref="L31:P31"/>
    <mergeCell ref="W32:AE32"/>
    <mergeCell ref="AK32:AO32"/>
    <mergeCell ref="L32:P32"/>
    <mergeCell ref="BE5:BE34"/>
    <mergeCell ref="K5:AJ5"/>
    <mergeCell ref="K6:AJ6"/>
    <mergeCell ref="E14:AJ14"/>
    <mergeCell ref="E23:AN23"/>
    <mergeCell ref="AK26:AO26"/>
    <mergeCell ref="L28:P28"/>
    <mergeCell ref="W28:AE28"/>
    <mergeCell ref="AK28:AO28"/>
    <mergeCell ref="W29:AE29"/>
    <mergeCell ref="AK29:AO29"/>
    <mergeCell ref="L29:P29"/>
    <mergeCell ref="W30:AE30"/>
    <mergeCell ref="AK30:AO30"/>
    <mergeCell ref="L30:P30"/>
    <mergeCell ref="W31:AE31"/>
  </mergeCells>
  <hyperlinks>
    <hyperlink ref="A95" location="'SO101 - Oprava silniceII-...'!C2" display="/" xr:uid="{00000000-0004-0000-0000-000000000000}"/>
    <hyperlink ref="A96" location="'SO102 - DIO'!C2" display="/" xr:uid="{00000000-0004-0000-0000-000001000000}"/>
    <hyperlink ref="A97" location="'SO103 - Doplňující údaje '!C2" display="/" xr:uid="{00000000-0004-0000-0000-000002000000}"/>
  </hyperlink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M330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5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AT2" s="15" t="s">
        <v>89</v>
      </c>
    </row>
    <row r="3" spans="2:46" ht="6.95" customHeight="1">
      <c r="B3" s="16"/>
      <c r="C3" s="17"/>
      <c r="D3" s="17"/>
      <c r="E3" s="17"/>
      <c r="F3" s="17"/>
      <c r="G3" s="17"/>
      <c r="H3" s="17"/>
      <c r="I3" s="17"/>
      <c r="J3" s="17"/>
      <c r="K3" s="17"/>
      <c r="L3" s="18"/>
      <c r="AT3" s="15" t="s">
        <v>90</v>
      </c>
    </row>
    <row r="4" spans="2:46" ht="24.95" customHeight="1">
      <c r="B4" s="18"/>
      <c r="D4" s="19" t="s">
        <v>97</v>
      </c>
      <c r="L4" s="18"/>
      <c r="M4" s="86" t="s">
        <v>10</v>
      </c>
      <c r="AT4" s="15" t="s">
        <v>4</v>
      </c>
    </row>
    <row r="5" spans="2:46" ht="6.95" customHeight="1">
      <c r="B5" s="18"/>
      <c r="L5" s="18"/>
    </row>
    <row r="6" spans="2:46" ht="12" customHeight="1">
      <c r="B6" s="18"/>
      <c r="D6" s="25" t="s">
        <v>16</v>
      </c>
      <c r="L6" s="18"/>
    </row>
    <row r="7" spans="2:46" ht="16.5" customHeight="1">
      <c r="B7" s="18"/>
      <c r="E7" s="202" t="str">
        <f>'Rekapitulace stavby'!K6</f>
        <v>Oprava silnice II/634 Rudolfov-Klauda</v>
      </c>
      <c r="F7" s="203"/>
      <c r="G7" s="203"/>
      <c r="H7" s="203"/>
      <c r="L7" s="18"/>
    </row>
    <row r="8" spans="2:46" s="1" customFormat="1" ht="12" customHeight="1">
      <c r="B8" s="30"/>
      <c r="D8" s="25" t="s">
        <v>98</v>
      </c>
      <c r="L8" s="30"/>
    </row>
    <row r="9" spans="2:46" s="1" customFormat="1" ht="30" customHeight="1">
      <c r="B9" s="30"/>
      <c r="E9" s="183" t="s">
        <v>99</v>
      </c>
      <c r="F9" s="204"/>
      <c r="G9" s="204"/>
      <c r="H9" s="204"/>
      <c r="L9" s="30"/>
    </row>
    <row r="10" spans="2:46" s="1" customFormat="1" ht="11.25">
      <c r="B10" s="30"/>
      <c r="L10" s="30"/>
    </row>
    <row r="11" spans="2:46" s="1" customFormat="1" ht="12" customHeight="1">
      <c r="B11" s="30"/>
      <c r="D11" s="25" t="s">
        <v>18</v>
      </c>
      <c r="F11" s="23" t="s">
        <v>1</v>
      </c>
      <c r="I11" s="25" t="s">
        <v>19</v>
      </c>
      <c r="J11" s="23" t="s">
        <v>1</v>
      </c>
      <c r="L11" s="30"/>
    </row>
    <row r="12" spans="2:46" s="1" customFormat="1" ht="12" customHeight="1">
      <c r="B12" s="30"/>
      <c r="D12" s="25" t="s">
        <v>20</v>
      </c>
      <c r="F12" s="23" t="s">
        <v>21</v>
      </c>
      <c r="I12" s="25" t="s">
        <v>22</v>
      </c>
      <c r="J12" s="50" t="str">
        <f>'Rekapitulace stavby'!AN8</f>
        <v>Vyplň údaj</v>
      </c>
      <c r="L12" s="30"/>
    </row>
    <row r="13" spans="2:46" s="1" customFormat="1" ht="10.9" customHeight="1">
      <c r="B13" s="30"/>
      <c r="L13" s="30"/>
    </row>
    <row r="14" spans="2:46" s="1" customFormat="1" ht="12" customHeight="1">
      <c r="B14" s="30"/>
      <c r="D14" s="25" t="s">
        <v>23</v>
      </c>
      <c r="I14" s="25" t="s">
        <v>24</v>
      </c>
      <c r="J14" s="23" t="s">
        <v>25</v>
      </c>
      <c r="L14" s="30"/>
    </row>
    <row r="15" spans="2:46" s="1" customFormat="1" ht="18" customHeight="1">
      <c r="B15" s="30"/>
      <c r="E15" s="23" t="s">
        <v>26</v>
      </c>
      <c r="I15" s="25" t="s">
        <v>27</v>
      </c>
      <c r="J15" s="23" t="s">
        <v>28</v>
      </c>
      <c r="L15" s="30"/>
    </row>
    <row r="16" spans="2:46" s="1" customFormat="1" ht="6.95" customHeight="1">
      <c r="B16" s="30"/>
      <c r="L16" s="30"/>
    </row>
    <row r="17" spans="2:12" s="1" customFormat="1" ht="12" customHeight="1">
      <c r="B17" s="30"/>
      <c r="D17" s="25" t="s">
        <v>29</v>
      </c>
      <c r="I17" s="25" t="s">
        <v>24</v>
      </c>
      <c r="J17" s="26" t="str">
        <f>'Rekapitulace stavby'!AN13</f>
        <v>Vyplň údaj</v>
      </c>
      <c r="L17" s="30"/>
    </row>
    <row r="18" spans="2:12" s="1" customFormat="1" ht="18" customHeight="1">
      <c r="B18" s="30"/>
      <c r="E18" s="205" t="str">
        <f>'Rekapitulace stavby'!E14</f>
        <v>Vyplň údaj</v>
      </c>
      <c r="F18" s="167"/>
      <c r="G18" s="167"/>
      <c r="H18" s="167"/>
      <c r="I18" s="25" t="s">
        <v>27</v>
      </c>
      <c r="J18" s="26" t="str">
        <f>'Rekapitulace stavby'!AN14</f>
        <v>Vyplň údaj</v>
      </c>
      <c r="L18" s="30"/>
    </row>
    <row r="19" spans="2:12" s="1" customFormat="1" ht="6.95" customHeight="1">
      <c r="B19" s="30"/>
      <c r="L19" s="30"/>
    </row>
    <row r="20" spans="2:12" s="1" customFormat="1" ht="12" customHeight="1">
      <c r="B20" s="30"/>
      <c r="D20" s="25" t="s">
        <v>31</v>
      </c>
      <c r="I20" s="25" t="s">
        <v>24</v>
      </c>
      <c r="J20" s="23" t="s">
        <v>32</v>
      </c>
      <c r="L20" s="30"/>
    </row>
    <row r="21" spans="2:12" s="1" customFormat="1" ht="18" customHeight="1">
      <c r="B21" s="30"/>
      <c r="E21" s="23" t="s">
        <v>33</v>
      </c>
      <c r="I21" s="25" t="s">
        <v>27</v>
      </c>
      <c r="J21" s="23" t="s">
        <v>34</v>
      </c>
      <c r="L21" s="30"/>
    </row>
    <row r="22" spans="2:12" s="1" customFormat="1" ht="6.95" customHeight="1">
      <c r="B22" s="30"/>
      <c r="L22" s="30"/>
    </row>
    <row r="23" spans="2:12" s="1" customFormat="1" ht="12" customHeight="1">
      <c r="B23" s="30"/>
      <c r="D23" s="25" t="s">
        <v>36</v>
      </c>
      <c r="I23" s="25" t="s">
        <v>24</v>
      </c>
      <c r="J23" s="23" t="s">
        <v>1</v>
      </c>
      <c r="L23" s="30"/>
    </row>
    <row r="24" spans="2:12" s="1" customFormat="1" ht="18" customHeight="1">
      <c r="B24" s="30"/>
      <c r="E24" s="23" t="s">
        <v>37</v>
      </c>
      <c r="I24" s="25" t="s">
        <v>27</v>
      </c>
      <c r="J24" s="23" t="s">
        <v>1</v>
      </c>
      <c r="L24" s="30"/>
    </row>
    <row r="25" spans="2:12" s="1" customFormat="1" ht="6.95" customHeight="1">
      <c r="B25" s="30"/>
      <c r="L25" s="30"/>
    </row>
    <row r="26" spans="2:12" s="1" customFormat="1" ht="12" customHeight="1">
      <c r="B26" s="30"/>
      <c r="D26" s="25" t="s">
        <v>38</v>
      </c>
      <c r="L26" s="30"/>
    </row>
    <row r="27" spans="2:12" s="7" customFormat="1" ht="16.5" customHeight="1">
      <c r="B27" s="87"/>
      <c r="E27" s="172" t="s">
        <v>1</v>
      </c>
      <c r="F27" s="172"/>
      <c r="G27" s="172"/>
      <c r="H27" s="172"/>
      <c r="L27" s="87"/>
    </row>
    <row r="28" spans="2:12" s="1" customFormat="1" ht="6.95" customHeight="1">
      <c r="B28" s="30"/>
      <c r="L28" s="30"/>
    </row>
    <row r="29" spans="2:12" s="1" customFormat="1" ht="6.95" customHeight="1">
      <c r="B29" s="30"/>
      <c r="D29" s="51"/>
      <c r="E29" s="51"/>
      <c r="F29" s="51"/>
      <c r="G29" s="51"/>
      <c r="H29" s="51"/>
      <c r="I29" s="51"/>
      <c r="J29" s="51"/>
      <c r="K29" s="51"/>
      <c r="L29" s="30"/>
    </row>
    <row r="30" spans="2:12" s="1" customFormat="1" ht="25.35" customHeight="1">
      <c r="B30" s="30"/>
      <c r="D30" s="88" t="s">
        <v>40</v>
      </c>
      <c r="J30" s="64">
        <f>ROUND(J122, 2)</f>
        <v>0</v>
      </c>
      <c r="L30" s="30"/>
    </row>
    <row r="31" spans="2:12" s="1" customFormat="1" ht="6.95" customHeight="1">
      <c r="B31" s="30"/>
      <c r="D31" s="51"/>
      <c r="E31" s="51"/>
      <c r="F31" s="51"/>
      <c r="G31" s="51"/>
      <c r="H31" s="51"/>
      <c r="I31" s="51"/>
      <c r="J31" s="51"/>
      <c r="K31" s="51"/>
      <c r="L31" s="30"/>
    </row>
    <row r="32" spans="2:12" s="1" customFormat="1" ht="14.45" customHeight="1">
      <c r="B32" s="30"/>
      <c r="F32" s="33" t="s">
        <v>42</v>
      </c>
      <c r="I32" s="33" t="s">
        <v>41</v>
      </c>
      <c r="J32" s="33" t="s">
        <v>43</v>
      </c>
      <c r="L32" s="30"/>
    </row>
    <row r="33" spans="2:12" s="1" customFormat="1" ht="14.45" customHeight="1">
      <c r="B33" s="30"/>
      <c r="D33" s="53" t="s">
        <v>44</v>
      </c>
      <c r="E33" s="25" t="s">
        <v>45</v>
      </c>
      <c r="F33" s="89">
        <f>ROUND((SUM(BE122:BE329)),  2)</f>
        <v>0</v>
      </c>
      <c r="I33" s="90">
        <v>0.21</v>
      </c>
      <c r="J33" s="89">
        <f>ROUND(((SUM(BE122:BE329))*I33),  2)</f>
        <v>0</v>
      </c>
      <c r="L33" s="30"/>
    </row>
    <row r="34" spans="2:12" s="1" customFormat="1" ht="14.45" customHeight="1">
      <c r="B34" s="30"/>
      <c r="E34" s="25" t="s">
        <v>46</v>
      </c>
      <c r="F34" s="89">
        <f>ROUND((SUM(BF122:BF329)),  2)</f>
        <v>0</v>
      </c>
      <c r="I34" s="90">
        <v>0.12</v>
      </c>
      <c r="J34" s="89">
        <f>ROUND(((SUM(BF122:BF329))*I34),  2)</f>
        <v>0</v>
      </c>
      <c r="L34" s="30"/>
    </row>
    <row r="35" spans="2:12" s="1" customFormat="1" ht="14.45" hidden="1" customHeight="1">
      <c r="B35" s="30"/>
      <c r="E35" s="25" t="s">
        <v>47</v>
      </c>
      <c r="F35" s="89">
        <f>ROUND((SUM(BG122:BG329)),  2)</f>
        <v>0</v>
      </c>
      <c r="I35" s="90">
        <v>0.21</v>
      </c>
      <c r="J35" s="89">
        <f>0</f>
        <v>0</v>
      </c>
      <c r="L35" s="30"/>
    </row>
    <row r="36" spans="2:12" s="1" customFormat="1" ht="14.45" hidden="1" customHeight="1">
      <c r="B36" s="30"/>
      <c r="E36" s="25" t="s">
        <v>48</v>
      </c>
      <c r="F36" s="89">
        <f>ROUND((SUM(BH122:BH329)),  2)</f>
        <v>0</v>
      </c>
      <c r="I36" s="90">
        <v>0.12</v>
      </c>
      <c r="J36" s="89">
        <f>0</f>
        <v>0</v>
      </c>
      <c r="L36" s="30"/>
    </row>
    <row r="37" spans="2:12" s="1" customFormat="1" ht="14.45" hidden="1" customHeight="1">
      <c r="B37" s="30"/>
      <c r="E37" s="25" t="s">
        <v>49</v>
      </c>
      <c r="F37" s="89">
        <f>ROUND((SUM(BI122:BI329)),  2)</f>
        <v>0</v>
      </c>
      <c r="I37" s="90">
        <v>0</v>
      </c>
      <c r="J37" s="89">
        <f>0</f>
        <v>0</v>
      </c>
      <c r="L37" s="30"/>
    </row>
    <row r="38" spans="2:12" s="1" customFormat="1" ht="6.95" customHeight="1">
      <c r="B38" s="30"/>
      <c r="L38" s="30"/>
    </row>
    <row r="39" spans="2:12" s="1" customFormat="1" ht="25.35" customHeight="1">
      <c r="B39" s="30"/>
      <c r="C39" s="91"/>
      <c r="D39" s="92" t="s">
        <v>50</v>
      </c>
      <c r="E39" s="55"/>
      <c r="F39" s="55"/>
      <c r="G39" s="93" t="s">
        <v>51</v>
      </c>
      <c r="H39" s="94" t="s">
        <v>52</v>
      </c>
      <c r="I39" s="55"/>
      <c r="J39" s="95">
        <f>SUM(J30:J37)</f>
        <v>0</v>
      </c>
      <c r="K39" s="96"/>
      <c r="L39" s="30"/>
    </row>
    <row r="40" spans="2:12" s="1" customFormat="1" ht="14.45" customHeight="1">
      <c r="B40" s="30"/>
      <c r="L40" s="30"/>
    </row>
    <row r="41" spans="2:12" ht="14.45" customHeight="1">
      <c r="B41" s="18"/>
      <c r="L41" s="18"/>
    </row>
    <row r="42" spans="2:12" ht="14.45" customHeight="1">
      <c r="B42" s="18"/>
      <c r="L42" s="18"/>
    </row>
    <row r="43" spans="2:12" ht="14.45" customHeight="1">
      <c r="B43" s="18"/>
      <c r="L43" s="18"/>
    </row>
    <row r="44" spans="2:12" ht="14.45" customHeight="1">
      <c r="B44" s="18"/>
      <c r="L44" s="18"/>
    </row>
    <row r="45" spans="2:12" ht="14.45" customHeight="1">
      <c r="B45" s="18"/>
      <c r="L45" s="18"/>
    </row>
    <row r="46" spans="2:12" ht="14.45" customHeight="1">
      <c r="B46" s="18"/>
      <c r="L46" s="18"/>
    </row>
    <row r="47" spans="2:12" ht="14.45" customHeight="1">
      <c r="B47" s="18"/>
      <c r="L47" s="18"/>
    </row>
    <row r="48" spans="2:12" ht="14.45" customHeight="1">
      <c r="B48" s="18"/>
      <c r="L48" s="18"/>
    </row>
    <row r="49" spans="2:12" ht="14.45" customHeight="1">
      <c r="B49" s="18"/>
      <c r="L49" s="18"/>
    </row>
    <row r="50" spans="2:12" s="1" customFormat="1" ht="14.45" customHeight="1">
      <c r="B50" s="30"/>
      <c r="D50" s="39" t="s">
        <v>53</v>
      </c>
      <c r="E50" s="40"/>
      <c r="F50" s="40"/>
      <c r="G50" s="39" t="s">
        <v>54</v>
      </c>
      <c r="H50" s="40"/>
      <c r="I50" s="40"/>
      <c r="J50" s="40"/>
      <c r="K50" s="40"/>
      <c r="L50" s="30"/>
    </row>
    <row r="51" spans="2:12" ht="11.25">
      <c r="B51" s="18"/>
      <c r="L51" s="18"/>
    </row>
    <row r="52" spans="2:12" ht="11.25">
      <c r="B52" s="18"/>
      <c r="L52" s="18"/>
    </row>
    <row r="53" spans="2:12" ht="11.25">
      <c r="B53" s="18"/>
      <c r="L53" s="18"/>
    </row>
    <row r="54" spans="2:12" ht="11.25">
      <c r="B54" s="18"/>
      <c r="L54" s="18"/>
    </row>
    <row r="55" spans="2:12" ht="11.25">
      <c r="B55" s="18"/>
      <c r="L55" s="18"/>
    </row>
    <row r="56" spans="2:12" ht="11.25">
      <c r="B56" s="18"/>
      <c r="L56" s="18"/>
    </row>
    <row r="57" spans="2:12" ht="11.25">
      <c r="B57" s="18"/>
      <c r="L57" s="18"/>
    </row>
    <row r="58" spans="2:12" ht="11.25">
      <c r="B58" s="18"/>
      <c r="L58" s="18"/>
    </row>
    <row r="59" spans="2:12" ht="11.25">
      <c r="B59" s="18"/>
      <c r="L59" s="18"/>
    </row>
    <row r="60" spans="2:12" ht="11.25">
      <c r="B60" s="18"/>
      <c r="L60" s="18"/>
    </row>
    <row r="61" spans="2:12" s="1" customFormat="1" ht="12.75">
      <c r="B61" s="30"/>
      <c r="D61" s="41" t="s">
        <v>55</v>
      </c>
      <c r="E61" s="32"/>
      <c r="F61" s="97" t="s">
        <v>56</v>
      </c>
      <c r="G61" s="41" t="s">
        <v>55</v>
      </c>
      <c r="H61" s="32"/>
      <c r="I61" s="32"/>
      <c r="J61" s="98" t="s">
        <v>56</v>
      </c>
      <c r="K61" s="32"/>
      <c r="L61" s="30"/>
    </row>
    <row r="62" spans="2:12" ht="11.25">
      <c r="B62" s="18"/>
      <c r="L62" s="18"/>
    </row>
    <row r="63" spans="2:12" ht="11.25">
      <c r="B63" s="18"/>
      <c r="L63" s="18"/>
    </row>
    <row r="64" spans="2:12" ht="11.25">
      <c r="B64" s="18"/>
      <c r="L64" s="18"/>
    </row>
    <row r="65" spans="2:12" s="1" customFormat="1" ht="12.75">
      <c r="B65" s="30"/>
      <c r="D65" s="39" t="s">
        <v>57</v>
      </c>
      <c r="E65" s="40"/>
      <c r="F65" s="40"/>
      <c r="G65" s="39" t="s">
        <v>58</v>
      </c>
      <c r="H65" s="40"/>
      <c r="I65" s="40"/>
      <c r="J65" s="40"/>
      <c r="K65" s="40"/>
      <c r="L65" s="30"/>
    </row>
    <row r="66" spans="2:12" ht="11.25">
      <c r="B66" s="18"/>
      <c r="L66" s="18"/>
    </row>
    <row r="67" spans="2:12" ht="11.25">
      <c r="B67" s="18"/>
      <c r="L67" s="18"/>
    </row>
    <row r="68" spans="2:12" ht="11.25">
      <c r="B68" s="18"/>
      <c r="L68" s="18"/>
    </row>
    <row r="69" spans="2:12" ht="11.25">
      <c r="B69" s="18"/>
      <c r="L69" s="18"/>
    </row>
    <row r="70" spans="2:12" ht="11.25">
      <c r="B70" s="18"/>
      <c r="L70" s="18"/>
    </row>
    <row r="71" spans="2:12" ht="11.25">
      <c r="B71" s="18"/>
      <c r="L71" s="18"/>
    </row>
    <row r="72" spans="2:12" ht="11.25">
      <c r="B72" s="18"/>
      <c r="L72" s="18"/>
    </row>
    <row r="73" spans="2:12" ht="11.25">
      <c r="B73" s="18"/>
      <c r="L73" s="18"/>
    </row>
    <row r="74" spans="2:12" ht="11.25">
      <c r="B74" s="18"/>
      <c r="L74" s="18"/>
    </row>
    <row r="75" spans="2:12" ht="11.25">
      <c r="B75" s="18"/>
      <c r="L75" s="18"/>
    </row>
    <row r="76" spans="2:12" s="1" customFormat="1" ht="12.75">
      <c r="B76" s="30"/>
      <c r="D76" s="41" t="s">
        <v>55</v>
      </c>
      <c r="E76" s="32"/>
      <c r="F76" s="97" t="s">
        <v>56</v>
      </c>
      <c r="G76" s="41" t="s">
        <v>55</v>
      </c>
      <c r="H76" s="32"/>
      <c r="I76" s="32"/>
      <c r="J76" s="98" t="s">
        <v>56</v>
      </c>
      <c r="K76" s="32"/>
      <c r="L76" s="30"/>
    </row>
    <row r="77" spans="2:12" s="1" customFormat="1" ht="14.45" customHeight="1">
      <c r="B77" s="42"/>
      <c r="C77" s="43"/>
      <c r="D77" s="43"/>
      <c r="E77" s="43"/>
      <c r="F77" s="43"/>
      <c r="G77" s="43"/>
      <c r="H77" s="43"/>
      <c r="I77" s="43"/>
      <c r="J77" s="43"/>
      <c r="K77" s="43"/>
      <c r="L77" s="30"/>
    </row>
    <row r="81" spans="2:47" s="1" customFormat="1" ht="6.95" customHeight="1">
      <c r="B81" s="44"/>
      <c r="C81" s="45"/>
      <c r="D81" s="45"/>
      <c r="E81" s="45"/>
      <c r="F81" s="45"/>
      <c r="G81" s="45"/>
      <c r="H81" s="45"/>
      <c r="I81" s="45"/>
      <c r="J81" s="45"/>
      <c r="K81" s="45"/>
      <c r="L81" s="30"/>
    </row>
    <row r="82" spans="2:47" s="1" customFormat="1" ht="24.95" customHeight="1">
      <c r="B82" s="30"/>
      <c r="C82" s="19" t="s">
        <v>100</v>
      </c>
      <c r="L82" s="30"/>
    </row>
    <row r="83" spans="2:47" s="1" customFormat="1" ht="6.95" customHeight="1">
      <c r="B83" s="30"/>
      <c r="L83" s="30"/>
    </row>
    <row r="84" spans="2:47" s="1" customFormat="1" ht="12" customHeight="1">
      <c r="B84" s="30"/>
      <c r="C84" s="25" t="s">
        <v>16</v>
      </c>
      <c r="L84" s="30"/>
    </row>
    <row r="85" spans="2:47" s="1" customFormat="1" ht="16.5" customHeight="1">
      <c r="B85" s="30"/>
      <c r="E85" s="202" t="str">
        <f>E7</f>
        <v>Oprava silnice II/634 Rudolfov-Klauda</v>
      </c>
      <c r="F85" s="203"/>
      <c r="G85" s="203"/>
      <c r="H85" s="203"/>
      <c r="L85" s="30"/>
    </row>
    <row r="86" spans="2:47" s="1" customFormat="1" ht="12" customHeight="1">
      <c r="B86" s="30"/>
      <c r="C86" s="25" t="s">
        <v>98</v>
      </c>
      <c r="L86" s="30"/>
    </row>
    <row r="87" spans="2:47" s="1" customFormat="1" ht="30" customHeight="1">
      <c r="B87" s="30"/>
      <c r="E87" s="183" t="str">
        <f>E9</f>
        <v>SO101 - Oprava silniceII/634 Rudolfov-Klauda, staničení km 5,278-6,700</v>
      </c>
      <c r="F87" s="204"/>
      <c r="G87" s="204"/>
      <c r="H87" s="204"/>
      <c r="L87" s="30"/>
    </row>
    <row r="88" spans="2:47" s="1" customFormat="1" ht="6.95" customHeight="1">
      <c r="B88" s="30"/>
      <c r="L88" s="30"/>
    </row>
    <row r="89" spans="2:47" s="1" customFormat="1" ht="12" customHeight="1">
      <c r="B89" s="30"/>
      <c r="C89" s="25" t="s">
        <v>20</v>
      </c>
      <c r="F89" s="23" t="str">
        <f>F12</f>
        <v>Rudolfov-Klauda</v>
      </c>
      <c r="I89" s="25" t="s">
        <v>22</v>
      </c>
      <c r="J89" s="50" t="str">
        <f>IF(J12="","",J12)</f>
        <v>Vyplň údaj</v>
      </c>
      <c r="L89" s="30"/>
    </row>
    <row r="90" spans="2:47" s="1" customFormat="1" ht="6.95" customHeight="1">
      <c r="B90" s="30"/>
      <c r="L90" s="30"/>
    </row>
    <row r="91" spans="2:47" s="1" customFormat="1" ht="40.15" customHeight="1">
      <c r="B91" s="30"/>
      <c r="C91" s="25" t="s">
        <v>23</v>
      </c>
      <c r="F91" s="23" t="str">
        <f>E15</f>
        <v>Jihočeský kraj</v>
      </c>
      <c r="I91" s="25" t="s">
        <v>31</v>
      </c>
      <c r="J91" s="28" t="str">
        <f>E21</f>
        <v>Správa a údržba silnic Jihočeského kraje p.o.</v>
      </c>
      <c r="L91" s="30"/>
    </row>
    <row r="92" spans="2:47" s="1" customFormat="1" ht="25.7" customHeight="1">
      <c r="B92" s="30"/>
      <c r="C92" s="25" t="s">
        <v>29</v>
      </c>
      <c r="F92" s="23" t="str">
        <f>IF(E18="","",E18)</f>
        <v>Vyplň údaj</v>
      </c>
      <c r="I92" s="25" t="s">
        <v>36</v>
      </c>
      <c r="J92" s="28" t="str">
        <f>E24</f>
        <v>Petr Nachtigal 606 633 836</v>
      </c>
      <c r="L92" s="30"/>
    </row>
    <row r="93" spans="2:47" s="1" customFormat="1" ht="10.35" customHeight="1">
      <c r="B93" s="30"/>
      <c r="L93" s="30"/>
    </row>
    <row r="94" spans="2:47" s="1" customFormat="1" ht="29.25" customHeight="1">
      <c r="B94" s="30"/>
      <c r="C94" s="99" t="s">
        <v>101</v>
      </c>
      <c r="D94" s="91"/>
      <c r="E94" s="91"/>
      <c r="F94" s="91"/>
      <c r="G94" s="91"/>
      <c r="H94" s="91"/>
      <c r="I94" s="91"/>
      <c r="J94" s="100" t="s">
        <v>102</v>
      </c>
      <c r="K94" s="91"/>
      <c r="L94" s="30"/>
    </row>
    <row r="95" spans="2:47" s="1" customFormat="1" ht="10.35" customHeight="1">
      <c r="B95" s="30"/>
      <c r="L95" s="30"/>
    </row>
    <row r="96" spans="2:47" s="1" customFormat="1" ht="22.9" customHeight="1">
      <c r="B96" s="30"/>
      <c r="C96" s="101" t="s">
        <v>103</v>
      </c>
      <c r="J96" s="64">
        <f>J122</f>
        <v>0</v>
      </c>
      <c r="L96" s="30"/>
      <c r="AU96" s="15" t="s">
        <v>104</v>
      </c>
    </row>
    <row r="97" spans="2:12" s="8" customFormat="1" ht="24.95" customHeight="1">
      <c r="B97" s="102"/>
      <c r="D97" s="103" t="s">
        <v>105</v>
      </c>
      <c r="E97" s="104"/>
      <c r="F97" s="104"/>
      <c r="G97" s="104"/>
      <c r="H97" s="104"/>
      <c r="I97" s="104"/>
      <c r="J97" s="105">
        <f>J123</f>
        <v>0</v>
      </c>
      <c r="L97" s="102"/>
    </row>
    <row r="98" spans="2:12" s="9" customFormat="1" ht="19.899999999999999" customHeight="1">
      <c r="B98" s="106"/>
      <c r="D98" s="107" t="s">
        <v>106</v>
      </c>
      <c r="E98" s="108"/>
      <c r="F98" s="108"/>
      <c r="G98" s="108"/>
      <c r="H98" s="108"/>
      <c r="I98" s="108"/>
      <c r="J98" s="109">
        <f>J124</f>
        <v>0</v>
      </c>
      <c r="L98" s="106"/>
    </row>
    <row r="99" spans="2:12" s="9" customFormat="1" ht="19.899999999999999" customHeight="1">
      <c r="B99" s="106"/>
      <c r="D99" s="107" t="s">
        <v>107</v>
      </c>
      <c r="E99" s="108"/>
      <c r="F99" s="108"/>
      <c r="G99" s="108"/>
      <c r="H99" s="108"/>
      <c r="I99" s="108"/>
      <c r="J99" s="109">
        <f>J183</f>
        <v>0</v>
      </c>
      <c r="L99" s="106"/>
    </row>
    <row r="100" spans="2:12" s="9" customFormat="1" ht="19.899999999999999" customHeight="1">
      <c r="B100" s="106"/>
      <c r="D100" s="107" t="s">
        <v>108</v>
      </c>
      <c r="E100" s="108"/>
      <c r="F100" s="108"/>
      <c r="G100" s="108"/>
      <c r="H100" s="108"/>
      <c r="I100" s="108"/>
      <c r="J100" s="109">
        <f>J273</f>
        <v>0</v>
      </c>
      <c r="L100" s="106"/>
    </row>
    <row r="101" spans="2:12" s="9" customFormat="1" ht="19.899999999999999" customHeight="1">
      <c r="B101" s="106"/>
      <c r="D101" s="107" t="s">
        <v>109</v>
      </c>
      <c r="E101" s="108"/>
      <c r="F101" s="108"/>
      <c r="G101" s="108"/>
      <c r="H101" s="108"/>
      <c r="I101" s="108"/>
      <c r="J101" s="109">
        <f>J290</f>
        <v>0</v>
      </c>
      <c r="L101" s="106"/>
    </row>
    <row r="102" spans="2:12" s="8" customFormat="1" ht="24.95" customHeight="1">
      <c r="B102" s="102"/>
      <c r="D102" s="103" t="s">
        <v>110</v>
      </c>
      <c r="E102" s="104"/>
      <c r="F102" s="104"/>
      <c r="G102" s="104"/>
      <c r="H102" s="104"/>
      <c r="I102" s="104"/>
      <c r="J102" s="105">
        <f>J318</f>
        <v>0</v>
      </c>
      <c r="L102" s="102"/>
    </row>
    <row r="103" spans="2:12" s="1" customFormat="1" ht="21.75" customHeight="1">
      <c r="B103" s="30"/>
      <c r="L103" s="30"/>
    </row>
    <row r="104" spans="2:12" s="1" customFormat="1" ht="6.95" customHeight="1">
      <c r="B104" s="42"/>
      <c r="C104" s="43"/>
      <c r="D104" s="43"/>
      <c r="E104" s="43"/>
      <c r="F104" s="43"/>
      <c r="G104" s="43"/>
      <c r="H104" s="43"/>
      <c r="I104" s="43"/>
      <c r="J104" s="43"/>
      <c r="K104" s="43"/>
      <c r="L104" s="30"/>
    </row>
    <row r="108" spans="2:12" s="1" customFormat="1" ht="6.95" customHeight="1">
      <c r="B108" s="44"/>
      <c r="C108" s="45"/>
      <c r="D108" s="45"/>
      <c r="E108" s="45"/>
      <c r="F108" s="45"/>
      <c r="G108" s="45"/>
      <c r="H108" s="45"/>
      <c r="I108" s="45"/>
      <c r="J108" s="45"/>
      <c r="K108" s="45"/>
      <c r="L108" s="30"/>
    </row>
    <row r="109" spans="2:12" s="1" customFormat="1" ht="24.95" customHeight="1">
      <c r="B109" s="30"/>
      <c r="C109" s="19" t="s">
        <v>111</v>
      </c>
      <c r="L109" s="30"/>
    </row>
    <row r="110" spans="2:12" s="1" customFormat="1" ht="6.95" customHeight="1">
      <c r="B110" s="30"/>
      <c r="L110" s="30"/>
    </row>
    <row r="111" spans="2:12" s="1" customFormat="1" ht="12" customHeight="1">
      <c r="B111" s="30"/>
      <c r="C111" s="25" t="s">
        <v>16</v>
      </c>
      <c r="L111" s="30"/>
    </row>
    <row r="112" spans="2:12" s="1" customFormat="1" ht="16.5" customHeight="1">
      <c r="B112" s="30"/>
      <c r="E112" s="202" t="str">
        <f>E7</f>
        <v>Oprava silnice II/634 Rudolfov-Klauda</v>
      </c>
      <c r="F112" s="203"/>
      <c r="G112" s="203"/>
      <c r="H112" s="203"/>
      <c r="L112" s="30"/>
    </row>
    <row r="113" spans="2:65" s="1" customFormat="1" ht="12" customHeight="1">
      <c r="B113" s="30"/>
      <c r="C113" s="25" t="s">
        <v>98</v>
      </c>
      <c r="L113" s="30"/>
    </row>
    <row r="114" spans="2:65" s="1" customFormat="1" ht="30" customHeight="1">
      <c r="B114" s="30"/>
      <c r="E114" s="183" t="str">
        <f>E9</f>
        <v>SO101 - Oprava silniceII/634 Rudolfov-Klauda, staničení km 5,278-6,700</v>
      </c>
      <c r="F114" s="204"/>
      <c r="G114" s="204"/>
      <c r="H114" s="204"/>
      <c r="L114" s="30"/>
    </row>
    <row r="115" spans="2:65" s="1" customFormat="1" ht="6.95" customHeight="1">
      <c r="B115" s="30"/>
      <c r="L115" s="30"/>
    </row>
    <row r="116" spans="2:65" s="1" customFormat="1" ht="12" customHeight="1">
      <c r="B116" s="30"/>
      <c r="C116" s="25" t="s">
        <v>20</v>
      </c>
      <c r="F116" s="23" t="str">
        <f>F12</f>
        <v>Rudolfov-Klauda</v>
      </c>
      <c r="I116" s="25" t="s">
        <v>22</v>
      </c>
      <c r="J116" s="50" t="str">
        <f>IF(J12="","",J12)</f>
        <v>Vyplň údaj</v>
      </c>
      <c r="L116" s="30"/>
    </row>
    <row r="117" spans="2:65" s="1" customFormat="1" ht="6.95" customHeight="1">
      <c r="B117" s="30"/>
      <c r="L117" s="30"/>
    </row>
    <row r="118" spans="2:65" s="1" customFormat="1" ht="40.15" customHeight="1">
      <c r="B118" s="30"/>
      <c r="C118" s="25" t="s">
        <v>23</v>
      </c>
      <c r="F118" s="23" t="str">
        <f>E15</f>
        <v>Jihočeský kraj</v>
      </c>
      <c r="I118" s="25" t="s">
        <v>31</v>
      </c>
      <c r="J118" s="28" t="str">
        <f>E21</f>
        <v>Správa a údržba silnic Jihočeského kraje p.o.</v>
      </c>
      <c r="L118" s="30"/>
    </row>
    <row r="119" spans="2:65" s="1" customFormat="1" ht="25.7" customHeight="1">
      <c r="B119" s="30"/>
      <c r="C119" s="25" t="s">
        <v>29</v>
      </c>
      <c r="F119" s="23" t="str">
        <f>IF(E18="","",E18)</f>
        <v>Vyplň údaj</v>
      </c>
      <c r="I119" s="25" t="s">
        <v>36</v>
      </c>
      <c r="J119" s="28" t="str">
        <f>E24</f>
        <v>Petr Nachtigal 606 633 836</v>
      </c>
      <c r="L119" s="30"/>
    </row>
    <row r="120" spans="2:65" s="1" customFormat="1" ht="10.35" customHeight="1">
      <c r="B120" s="30"/>
      <c r="L120" s="30"/>
    </row>
    <row r="121" spans="2:65" s="10" customFormat="1" ht="29.25" customHeight="1">
      <c r="B121" s="110"/>
      <c r="C121" s="111" t="s">
        <v>112</v>
      </c>
      <c r="D121" s="112" t="s">
        <v>65</v>
      </c>
      <c r="E121" s="112" t="s">
        <v>61</v>
      </c>
      <c r="F121" s="112" t="s">
        <v>62</v>
      </c>
      <c r="G121" s="112" t="s">
        <v>113</v>
      </c>
      <c r="H121" s="112" t="s">
        <v>114</v>
      </c>
      <c r="I121" s="112" t="s">
        <v>115</v>
      </c>
      <c r="J121" s="112" t="s">
        <v>102</v>
      </c>
      <c r="K121" s="113" t="s">
        <v>116</v>
      </c>
      <c r="L121" s="110"/>
      <c r="M121" s="57" t="s">
        <v>1</v>
      </c>
      <c r="N121" s="58" t="s">
        <v>44</v>
      </c>
      <c r="O121" s="58" t="s">
        <v>117</v>
      </c>
      <c r="P121" s="58" t="s">
        <v>118</v>
      </c>
      <c r="Q121" s="58" t="s">
        <v>119</v>
      </c>
      <c r="R121" s="58" t="s">
        <v>120</v>
      </c>
      <c r="S121" s="58" t="s">
        <v>121</v>
      </c>
      <c r="T121" s="59" t="s">
        <v>122</v>
      </c>
    </row>
    <row r="122" spans="2:65" s="1" customFormat="1" ht="22.9" customHeight="1">
      <c r="B122" s="30"/>
      <c r="C122" s="62" t="s">
        <v>123</v>
      </c>
      <c r="J122" s="114">
        <f>BK122</f>
        <v>0</v>
      </c>
      <c r="L122" s="30"/>
      <c r="M122" s="60"/>
      <c r="N122" s="51"/>
      <c r="O122" s="51"/>
      <c r="P122" s="115">
        <f>P123+P318</f>
        <v>0</v>
      </c>
      <c r="Q122" s="51"/>
      <c r="R122" s="115">
        <f>R123+R318</f>
        <v>0</v>
      </c>
      <c r="S122" s="51"/>
      <c r="T122" s="116">
        <f>T123+T318</f>
        <v>0</v>
      </c>
      <c r="AT122" s="15" t="s">
        <v>79</v>
      </c>
      <c r="AU122" s="15" t="s">
        <v>104</v>
      </c>
      <c r="BK122" s="117">
        <f>BK123+BK318</f>
        <v>0</v>
      </c>
    </row>
    <row r="123" spans="2:65" s="11" customFormat="1" ht="25.9" customHeight="1">
      <c r="B123" s="118"/>
      <c r="D123" s="119" t="s">
        <v>79</v>
      </c>
      <c r="E123" s="120" t="s">
        <v>124</v>
      </c>
      <c r="F123" s="120" t="s">
        <v>125</v>
      </c>
      <c r="I123" s="121"/>
      <c r="J123" s="122">
        <f>BK123</f>
        <v>0</v>
      </c>
      <c r="L123" s="118"/>
      <c r="M123" s="123"/>
      <c r="P123" s="124">
        <f>P124+P183+P273+P290</f>
        <v>0</v>
      </c>
      <c r="R123" s="124">
        <f>R124+R183+R273+R290</f>
        <v>0</v>
      </c>
      <c r="T123" s="125">
        <f>T124+T183+T273+T290</f>
        <v>0</v>
      </c>
      <c r="AR123" s="119" t="s">
        <v>88</v>
      </c>
      <c r="AT123" s="126" t="s">
        <v>79</v>
      </c>
      <c r="AU123" s="126" t="s">
        <v>80</v>
      </c>
      <c r="AY123" s="119" t="s">
        <v>126</v>
      </c>
      <c r="BK123" s="127">
        <f>BK124+BK183+BK273+BK290</f>
        <v>0</v>
      </c>
    </row>
    <row r="124" spans="2:65" s="11" customFormat="1" ht="22.9" customHeight="1">
      <c r="B124" s="118"/>
      <c r="D124" s="119" t="s">
        <v>79</v>
      </c>
      <c r="E124" s="128" t="s">
        <v>88</v>
      </c>
      <c r="F124" s="128" t="s">
        <v>127</v>
      </c>
      <c r="I124" s="121"/>
      <c r="J124" s="129">
        <f>BK124</f>
        <v>0</v>
      </c>
      <c r="L124" s="118"/>
      <c r="M124" s="123"/>
      <c r="P124" s="124">
        <f>SUM(P125:P182)</f>
        <v>0</v>
      </c>
      <c r="R124" s="124">
        <f>SUM(R125:R182)</f>
        <v>0</v>
      </c>
      <c r="T124" s="125">
        <f>SUM(T125:T182)</f>
        <v>0</v>
      </c>
      <c r="AR124" s="119" t="s">
        <v>88</v>
      </c>
      <c r="AT124" s="126" t="s">
        <v>79</v>
      </c>
      <c r="AU124" s="126" t="s">
        <v>88</v>
      </c>
      <c r="AY124" s="119" t="s">
        <v>126</v>
      </c>
      <c r="BK124" s="127">
        <f>SUM(BK125:BK182)</f>
        <v>0</v>
      </c>
    </row>
    <row r="125" spans="2:65" s="1" customFormat="1" ht="24.2" customHeight="1">
      <c r="B125" s="30"/>
      <c r="C125" s="130" t="s">
        <v>88</v>
      </c>
      <c r="D125" s="130" t="s">
        <v>128</v>
      </c>
      <c r="E125" s="131" t="s">
        <v>129</v>
      </c>
      <c r="F125" s="132" t="s">
        <v>130</v>
      </c>
      <c r="G125" s="133" t="s">
        <v>131</v>
      </c>
      <c r="H125" s="134">
        <v>570.06500000000005</v>
      </c>
      <c r="I125" s="135"/>
      <c r="J125" s="136">
        <f>ROUND(I125*H125,2)</f>
        <v>0</v>
      </c>
      <c r="K125" s="132" t="s">
        <v>132</v>
      </c>
      <c r="L125" s="30"/>
      <c r="M125" s="137" t="s">
        <v>1</v>
      </c>
      <c r="N125" s="138" t="s">
        <v>45</v>
      </c>
      <c r="P125" s="139">
        <f>O125*H125</f>
        <v>0</v>
      </c>
      <c r="Q125" s="139">
        <v>0</v>
      </c>
      <c r="R125" s="139">
        <f>Q125*H125</f>
        <v>0</v>
      </c>
      <c r="S125" s="139">
        <v>0</v>
      </c>
      <c r="T125" s="140">
        <f>S125*H125</f>
        <v>0</v>
      </c>
      <c r="AR125" s="141" t="s">
        <v>133</v>
      </c>
      <c r="AT125" s="141" t="s">
        <v>128</v>
      </c>
      <c r="AU125" s="141" t="s">
        <v>90</v>
      </c>
      <c r="AY125" s="15" t="s">
        <v>126</v>
      </c>
      <c r="BE125" s="142">
        <f>IF(N125="základní",J125,0)</f>
        <v>0</v>
      </c>
      <c r="BF125" s="142">
        <f>IF(N125="snížená",J125,0)</f>
        <v>0</v>
      </c>
      <c r="BG125" s="142">
        <f>IF(N125="zákl. přenesená",J125,0)</f>
        <v>0</v>
      </c>
      <c r="BH125" s="142">
        <f>IF(N125="sníž. přenesená",J125,0)</f>
        <v>0</v>
      </c>
      <c r="BI125" s="142">
        <f>IF(N125="nulová",J125,0)</f>
        <v>0</v>
      </c>
      <c r="BJ125" s="15" t="s">
        <v>88</v>
      </c>
      <c r="BK125" s="142">
        <f>ROUND(I125*H125,2)</f>
        <v>0</v>
      </c>
      <c r="BL125" s="15" t="s">
        <v>133</v>
      </c>
      <c r="BM125" s="141" t="s">
        <v>134</v>
      </c>
    </row>
    <row r="126" spans="2:65" s="1" customFormat="1" ht="19.5">
      <c r="B126" s="30"/>
      <c r="D126" s="143" t="s">
        <v>135</v>
      </c>
      <c r="F126" s="144" t="s">
        <v>130</v>
      </c>
      <c r="I126" s="145"/>
      <c r="L126" s="30"/>
      <c r="M126" s="146"/>
      <c r="T126" s="54"/>
      <c r="AT126" s="15" t="s">
        <v>135</v>
      </c>
      <c r="AU126" s="15" t="s">
        <v>90</v>
      </c>
    </row>
    <row r="127" spans="2:65" s="1" customFormat="1" ht="78">
      <c r="B127" s="30"/>
      <c r="D127" s="143" t="s">
        <v>136</v>
      </c>
      <c r="F127" s="147" t="s">
        <v>137</v>
      </c>
      <c r="I127" s="145"/>
      <c r="L127" s="30"/>
      <c r="M127" s="146"/>
      <c r="T127" s="54"/>
      <c r="AT127" s="15" t="s">
        <v>136</v>
      </c>
      <c r="AU127" s="15" t="s">
        <v>90</v>
      </c>
    </row>
    <row r="128" spans="2:65" s="12" customFormat="1" ht="11.25">
      <c r="B128" s="148"/>
      <c r="D128" s="143" t="s">
        <v>138</v>
      </c>
      <c r="E128" s="149" t="s">
        <v>1</v>
      </c>
      <c r="F128" s="150" t="s">
        <v>139</v>
      </c>
      <c r="H128" s="149" t="s">
        <v>1</v>
      </c>
      <c r="I128" s="151"/>
      <c r="L128" s="148"/>
      <c r="M128" s="152"/>
      <c r="T128" s="153"/>
      <c r="AT128" s="149" t="s">
        <v>138</v>
      </c>
      <c r="AU128" s="149" t="s">
        <v>90</v>
      </c>
      <c r="AV128" s="12" t="s">
        <v>88</v>
      </c>
      <c r="AW128" s="12" t="s">
        <v>35</v>
      </c>
      <c r="AX128" s="12" t="s">
        <v>80</v>
      </c>
      <c r="AY128" s="149" t="s">
        <v>126</v>
      </c>
    </row>
    <row r="129" spans="2:51" s="12" customFormat="1" ht="11.25">
      <c r="B129" s="148"/>
      <c r="D129" s="143" t="s">
        <v>138</v>
      </c>
      <c r="E129" s="149" t="s">
        <v>1</v>
      </c>
      <c r="F129" s="150" t="s">
        <v>140</v>
      </c>
      <c r="H129" s="149" t="s">
        <v>1</v>
      </c>
      <c r="I129" s="151"/>
      <c r="L129" s="148"/>
      <c r="M129" s="152"/>
      <c r="T129" s="153"/>
      <c r="AT129" s="149" t="s">
        <v>138</v>
      </c>
      <c r="AU129" s="149" t="s">
        <v>90</v>
      </c>
      <c r="AV129" s="12" t="s">
        <v>88</v>
      </c>
      <c r="AW129" s="12" t="s">
        <v>35</v>
      </c>
      <c r="AX129" s="12" t="s">
        <v>80</v>
      </c>
      <c r="AY129" s="149" t="s">
        <v>126</v>
      </c>
    </row>
    <row r="130" spans="2:51" s="12" customFormat="1" ht="11.25">
      <c r="B130" s="148"/>
      <c r="D130" s="143" t="s">
        <v>138</v>
      </c>
      <c r="E130" s="149" t="s">
        <v>1</v>
      </c>
      <c r="F130" s="150" t="s">
        <v>141</v>
      </c>
      <c r="H130" s="149" t="s">
        <v>1</v>
      </c>
      <c r="I130" s="151"/>
      <c r="L130" s="148"/>
      <c r="M130" s="152"/>
      <c r="T130" s="153"/>
      <c r="AT130" s="149" t="s">
        <v>138</v>
      </c>
      <c r="AU130" s="149" t="s">
        <v>90</v>
      </c>
      <c r="AV130" s="12" t="s">
        <v>88</v>
      </c>
      <c r="AW130" s="12" t="s">
        <v>35</v>
      </c>
      <c r="AX130" s="12" t="s">
        <v>80</v>
      </c>
      <c r="AY130" s="149" t="s">
        <v>126</v>
      </c>
    </row>
    <row r="131" spans="2:51" s="12" customFormat="1" ht="11.25">
      <c r="B131" s="148"/>
      <c r="D131" s="143" t="s">
        <v>138</v>
      </c>
      <c r="E131" s="149" t="s">
        <v>1</v>
      </c>
      <c r="F131" s="150" t="s">
        <v>142</v>
      </c>
      <c r="H131" s="149" t="s">
        <v>1</v>
      </c>
      <c r="I131" s="151"/>
      <c r="L131" s="148"/>
      <c r="M131" s="152"/>
      <c r="T131" s="153"/>
      <c r="AT131" s="149" t="s">
        <v>138</v>
      </c>
      <c r="AU131" s="149" t="s">
        <v>90</v>
      </c>
      <c r="AV131" s="12" t="s">
        <v>88</v>
      </c>
      <c r="AW131" s="12" t="s">
        <v>35</v>
      </c>
      <c r="AX131" s="12" t="s">
        <v>80</v>
      </c>
      <c r="AY131" s="149" t="s">
        <v>126</v>
      </c>
    </row>
    <row r="132" spans="2:51" s="12" customFormat="1" ht="11.25">
      <c r="B132" s="148"/>
      <c r="D132" s="143" t="s">
        <v>138</v>
      </c>
      <c r="E132" s="149" t="s">
        <v>1</v>
      </c>
      <c r="F132" s="150" t="s">
        <v>143</v>
      </c>
      <c r="H132" s="149" t="s">
        <v>1</v>
      </c>
      <c r="I132" s="151"/>
      <c r="L132" s="148"/>
      <c r="M132" s="152"/>
      <c r="T132" s="153"/>
      <c r="AT132" s="149" t="s">
        <v>138</v>
      </c>
      <c r="AU132" s="149" t="s">
        <v>90</v>
      </c>
      <c r="AV132" s="12" t="s">
        <v>88</v>
      </c>
      <c r="AW132" s="12" t="s">
        <v>35</v>
      </c>
      <c r="AX132" s="12" t="s">
        <v>80</v>
      </c>
      <c r="AY132" s="149" t="s">
        <v>126</v>
      </c>
    </row>
    <row r="133" spans="2:51" s="12" customFormat="1" ht="11.25">
      <c r="B133" s="148"/>
      <c r="D133" s="143" t="s">
        <v>138</v>
      </c>
      <c r="E133" s="149" t="s">
        <v>1</v>
      </c>
      <c r="F133" s="150" t="s">
        <v>144</v>
      </c>
      <c r="H133" s="149" t="s">
        <v>1</v>
      </c>
      <c r="I133" s="151"/>
      <c r="L133" s="148"/>
      <c r="M133" s="152"/>
      <c r="T133" s="153"/>
      <c r="AT133" s="149" t="s">
        <v>138</v>
      </c>
      <c r="AU133" s="149" t="s">
        <v>90</v>
      </c>
      <c r="AV133" s="12" t="s">
        <v>88</v>
      </c>
      <c r="AW133" s="12" t="s">
        <v>35</v>
      </c>
      <c r="AX133" s="12" t="s">
        <v>80</v>
      </c>
      <c r="AY133" s="149" t="s">
        <v>126</v>
      </c>
    </row>
    <row r="134" spans="2:51" s="12" customFormat="1" ht="11.25">
      <c r="B134" s="148"/>
      <c r="D134" s="143" t="s">
        <v>138</v>
      </c>
      <c r="E134" s="149" t="s">
        <v>1</v>
      </c>
      <c r="F134" s="150" t="s">
        <v>145</v>
      </c>
      <c r="H134" s="149" t="s">
        <v>1</v>
      </c>
      <c r="I134" s="151"/>
      <c r="L134" s="148"/>
      <c r="M134" s="152"/>
      <c r="T134" s="153"/>
      <c r="AT134" s="149" t="s">
        <v>138</v>
      </c>
      <c r="AU134" s="149" t="s">
        <v>90</v>
      </c>
      <c r="AV134" s="12" t="s">
        <v>88</v>
      </c>
      <c r="AW134" s="12" t="s">
        <v>35</v>
      </c>
      <c r="AX134" s="12" t="s">
        <v>80</v>
      </c>
      <c r="AY134" s="149" t="s">
        <v>126</v>
      </c>
    </row>
    <row r="135" spans="2:51" s="12" customFormat="1" ht="11.25">
      <c r="B135" s="148"/>
      <c r="D135" s="143" t="s">
        <v>138</v>
      </c>
      <c r="E135" s="149" t="s">
        <v>1</v>
      </c>
      <c r="F135" s="150" t="s">
        <v>143</v>
      </c>
      <c r="H135" s="149" t="s">
        <v>1</v>
      </c>
      <c r="I135" s="151"/>
      <c r="L135" s="148"/>
      <c r="M135" s="152"/>
      <c r="T135" s="153"/>
      <c r="AT135" s="149" t="s">
        <v>138</v>
      </c>
      <c r="AU135" s="149" t="s">
        <v>90</v>
      </c>
      <c r="AV135" s="12" t="s">
        <v>88</v>
      </c>
      <c r="AW135" s="12" t="s">
        <v>35</v>
      </c>
      <c r="AX135" s="12" t="s">
        <v>80</v>
      </c>
      <c r="AY135" s="149" t="s">
        <v>126</v>
      </c>
    </row>
    <row r="136" spans="2:51" s="12" customFormat="1" ht="11.25">
      <c r="B136" s="148"/>
      <c r="D136" s="143" t="s">
        <v>138</v>
      </c>
      <c r="E136" s="149" t="s">
        <v>1</v>
      </c>
      <c r="F136" s="150" t="s">
        <v>146</v>
      </c>
      <c r="H136" s="149" t="s">
        <v>1</v>
      </c>
      <c r="I136" s="151"/>
      <c r="L136" s="148"/>
      <c r="M136" s="152"/>
      <c r="T136" s="153"/>
      <c r="AT136" s="149" t="s">
        <v>138</v>
      </c>
      <c r="AU136" s="149" t="s">
        <v>90</v>
      </c>
      <c r="AV136" s="12" t="s">
        <v>88</v>
      </c>
      <c r="AW136" s="12" t="s">
        <v>35</v>
      </c>
      <c r="AX136" s="12" t="s">
        <v>80</v>
      </c>
      <c r="AY136" s="149" t="s">
        <v>126</v>
      </c>
    </row>
    <row r="137" spans="2:51" s="12" customFormat="1" ht="11.25">
      <c r="B137" s="148"/>
      <c r="D137" s="143" t="s">
        <v>138</v>
      </c>
      <c r="E137" s="149" t="s">
        <v>1</v>
      </c>
      <c r="F137" s="150" t="s">
        <v>145</v>
      </c>
      <c r="H137" s="149" t="s">
        <v>1</v>
      </c>
      <c r="I137" s="151"/>
      <c r="L137" s="148"/>
      <c r="M137" s="152"/>
      <c r="T137" s="153"/>
      <c r="AT137" s="149" t="s">
        <v>138</v>
      </c>
      <c r="AU137" s="149" t="s">
        <v>90</v>
      </c>
      <c r="AV137" s="12" t="s">
        <v>88</v>
      </c>
      <c r="AW137" s="12" t="s">
        <v>35</v>
      </c>
      <c r="AX137" s="12" t="s">
        <v>80</v>
      </c>
      <c r="AY137" s="149" t="s">
        <v>126</v>
      </c>
    </row>
    <row r="138" spans="2:51" s="12" customFormat="1" ht="11.25">
      <c r="B138" s="148"/>
      <c r="D138" s="143" t="s">
        <v>138</v>
      </c>
      <c r="E138" s="149" t="s">
        <v>1</v>
      </c>
      <c r="F138" s="150" t="s">
        <v>143</v>
      </c>
      <c r="H138" s="149" t="s">
        <v>1</v>
      </c>
      <c r="I138" s="151"/>
      <c r="L138" s="148"/>
      <c r="M138" s="152"/>
      <c r="T138" s="153"/>
      <c r="AT138" s="149" t="s">
        <v>138</v>
      </c>
      <c r="AU138" s="149" t="s">
        <v>90</v>
      </c>
      <c r="AV138" s="12" t="s">
        <v>88</v>
      </c>
      <c r="AW138" s="12" t="s">
        <v>35</v>
      </c>
      <c r="AX138" s="12" t="s">
        <v>80</v>
      </c>
      <c r="AY138" s="149" t="s">
        <v>126</v>
      </c>
    </row>
    <row r="139" spans="2:51" s="12" customFormat="1" ht="11.25">
      <c r="B139" s="148"/>
      <c r="D139" s="143" t="s">
        <v>138</v>
      </c>
      <c r="E139" s="149" t="s">
        <v>1</v>
      </c>
      <c r="F139" s="150" t="s">
        <v>147</v>
      </c>
      <c r="H139" s="149" t="s">
        <v>1</v>
      </c>
      <c r="I139" s="151"/>
      <c r="L139" s="148"/>
      <c r="M139" s="152"/>
      <c r="T139" s="153"/>
      <c r="AT139" s="149" t="s">
        <v>138</v>
      </c>
      <c r="AU139" s="149" t="s">
        <v>90</v>
      </c>
      <c r="AV139" s="12" t="s">
        <v>88</v>
      </c>
      <c r="AW139" s="12" t="s">
        <v>35</v>
      </c>
      <c r="AX139" s="12" t="s">
        <v>80</v>
      </c>
      <c r="AY139" s="149" t="s">
        <v>126</v>
      </c>
    </row>
    <row r="140" spans="2:51" s="12" customFormat="1" ht="11.25">
      <c r="B140" s="148"/>
      <c r="D140" s="143" t="s">
        <v>138</v>
      </c>
      <c r="E140" s="149" t="s">
        <v>1</v>
      </c>
      <c r="F140" s="150" t="s">
        <v>145</v>
      </c>
      <c r="H140" s="149" t="s">
        <v>1</v>
      </c>
      <c r="I140" s="151"/>
      <c r="L140" s="148"/>
      <c r="M140" s="152"/>
      <c r="T140" s="153"/>
      <c r="AT140" s="149" t="s">
        <v>138</v>
      </c>
      <c r="AU140" s="149" t="s">
        <v>90</v>
      </c>
      <c r="AV140" s="12" t="s">
        <v>88</v>
      </c>
      <c r="AW140" s="12" t="s">
        <v>35</v>
      </c>
      <c r="AX140" s="12" t="s">
        <v>80</v>
      </c>
      <c r="AY140" s="149" t="s">
        <v>126</v>
      </c>
    </row>
    <row r="141" spans="2:51" s="12" customFormat="1" ht="11.25">
      <c r="B141" s="148"/>
      <c r="D141" s="143" t="s">
        <v>138</v>
      </c>
      <c r="E141" s="149" t="s">
        <v>1</v>
      </c>
      <c r="F141" s="150" t="s">
        <v>143</v>
      </c>
      <c r="H141" s="149" t="s">
        <v>1</v>
      </c>
      <c r="I141" s="151"/>
      <c r="L141" s="148"/>
      <c r="M141" s="152"/>
      <c r="T141" s="153"/>
      <c r="AT141" s="149" t="s">
        <v>138</v>
      </c>
      <c r="AU141" s="149" t="s">
        <v>90</v>
      </c>
      <c r="AV141" s="12" t="s">
        <v>88</v>
      </c>
      <c r="AW141" s="12" t="s">
        <v>35</v>
      </c>
      <c r="AX141" s="12" t="s">
        <v>80</v>
      </c>
      <c r="AY141" s="149" t="s">
        <v>126</v>
      </c>
    </row>
    <row r="142" spans="2:51" s="12" customFormat="1" ht="11.25">
      <c r="B142" s="148"/>
      <c r="D142" s="143" t="s">
        <v>138</v>
      </c>
      <c r="E142" s="149" t="s">
        <v>1</v>
      </c>
      <c r="F142" s="150" t="s">
        <v>148</v>
      </c>
      <c r="H142" s="149" t="s">
        <v>1</v>
      </c>
      <c r="I142" s="151"/>
      <c r="L142" s="148"/>
      <c r="M142" s="152"/>
      <c r="T142" s="153"/>
      <c r="AT142" s="149" t="s">
        <v>138</v>
      </c>
      <c r="AU142" s="149" t="s">
        <v>90</v>
      </c>
      <c r="AV142" s="12" t="s">
        <v>88</v>
      </c>
      <c r="AW142" s="12" t="s">
        <v>35</v>
      </c>
      <c r="AX142" s="12" t="s">
        <v>80</v>
      </c>
      <c r="AY142" s="149" t="s">
        <v>126</v>
      </c>
    </row>
    <row r="143" spans="2:51" s="12" customFormat="1" ht="11.25">
      <c r="B143" s="148"/>
      <c r="D143" s="143" t="s">
        <v>138</v>
      </c>
      <c r="E143" s="149" t="s">
        <v>1</v>
      </c>
      <c r="F143" s="150" t="s">
        <v>145</v>
      </c>
      <c r="H143" s="149" t="s">
        <v>1</v>
      </c>
      <c r="I143" s="151"/>
      <c r="L143" s="148"/>
      <c r="M143" s="152"/>
      <c r="T143" s="153"/>
      <c r="AT143" s="149" t="s">
        <v>138</v>
      </c>
      <c r="AU143" s="149" t="s">
        <v>90</v>
      </c>
      <c r="AV143" s="12" t="s">
        <v>88</v>
      </c>
      <c r="AW143" s="12" t="s">
        <v>35</v>
      </c>
      <c r="AX143" s="12" t="s">
        <v>80</v>
      </c>
      <c r="AY143" s="149" t="s">
        <v>126</v>
      </c>
    </row>
    <row r="144" spans="2:51" s="12" customFormat="1" ht="11.25">
      <c r="B144" s="148"/>
      <c r="D144" s="143" t="s">
        <v>138</v>
      </c>
      <c r="E144" s="149" t="s">
        <v>1</v>
      </c>
      <c r="F144" s="150" t="s">
        <v>143</v>
      </c>
      <c r="H144" s="149" t="s">
        <v>1</v>
      </c>
      <c r="I144" s="151"/>
      <c r="L144" s="148"/>
      <c r="M144" s="152"/>
      <c r="T144" s="153"/>
      <c r="AT144" s="149" t="s">
        <v>138</v>
      </c>
      <c r="AU144" s="149" t="s">
        <v>90</v>
      </c>
      <c r="AV144" s="12" t="s">
        <v>88</v>
      </c>
      <c r="AW144" s="12" t="s">
        <v>35</v>
      </c>
      <c r="AX144" s="12" t="s">
        <v>80</v>
      </c>
      <c r="AY144" s="149" t="s">
        <v>126</v>
      </c>
    </row>
    <row r="145" spans="2:65" s="12" customFormat="1" ht="11.25">
      <c r="B145" s="148"/>
      <c r="D145" s="143" t="s">
        <v>138</v>
      </c>
      <c r="E145" s="149" t="s">
        <v>1</v>
      </c>
      <c r="F145" s="150" t="s">
        <v>149</v>
      </c>
      <c r="H145" s="149" t="s">
        <v>1</v>
      </c>
      <c r="I145" s="151"/>
      <c r="L145" s="148"/>
      <c r="M145" s="152"/>
      <c r="T145" s="153"/>
      <c r="AT145" s="149" t="s">
        <v>138</v>
      </c>
      <c r="AU145" s="149" t="s">
        <v>90</v>
      </c>
      <c r="AV145" s="12" t="s">
        <v>88</v>
      </c>
      <c r="AW145" s="12" t="s">
        <v>35</v>
      </c>
      <c r="AX145" s="12" t="s">
        <v>80</v>
      </c>
      <c r="AY145" s="149" t="s">
        <v>126</v>
      </c>
    </row>
    <row r="146" spans="2:65" s="12" customFormat="1" ht="11.25">
      <c r="B146" s="148"/>
      <c r="D146" s="143" t="s">
        <v>138</v>
      </c>
      <c r="E146" s="149" t="s">
        <v>1</v>
      </c>
      <c r="F146" s="150" t="s">
        <v>150</v>
      </c>
      <c r="H146" s="149" t="s">
        <v>1</v>
      </c>
      <c r="I146" s="151"/>
      <c r="L146" s="148"/>
      <c r="M146" s="152"/>
      <c r="T146" s="153"/>
      <c r="AT146" s="149" t="s">
        <v>138</v>
      </c>
      <c r="AU146" s="149" t="s">
        <v>90</v>
      </c>
      <c r="AV146" s="12" t="s">
        <v>88</v>
      </c>
      <c r="AW146" s="12" t="s">
        <v>35</v>
      </c>
      <c r="AX146" s="12" t="s">
        <v>80</v>
      </c>
      <c r="AY146" s="149" t="s">
        <v>126</v>
      </c>
    </row>
    <row r="147" spans="2:65" s="12" customFormat="1" ht="11.25">
      <c r="B147" s="148"/>
      <c r="D147" s="143" t="s">
        <v>138</v>
      </c>
      <c r="E147" s="149" t="s">
        <v>1</v>
      </c>
      <c r="F147" s="150" t="s">
        <v>143</v>
      </c>
      <c r="H147" s="149" t="s">
        <v>1</v>
      </c>
      <c r="I147" s="151"/>
      <c r="L147" s="148"/>
      <c r="M147" s="152"/>
      <c r="T147" s="153"/>
      <c r="AT147" s="149" t="s">
        <v>138</v>
      </c>
      <c r="AU147" s="149" t="s">
        <v>90</v>
      </c>
      <c r="AV147" s="12" t="s">
        <v>88</v>
      </c>
      <c r="AW147" s="12" t="s">
        <v>35</v>
      </c>
      <c r="AX147" s="12" t="s">
        <v>80</v>
      </c>
      <c r="AY147" s="149" t="s">
        <v>126</v>
      </c>
    </row>
    <row r="148" spans="2:65" s="13" customFormat="1" ht="22.5">
      <c r="B148" s="154"/>
      <c r="D148" s="143" t="s">
        <v>138</v>
      </c>
      <c r="E148" s="155" t="s">
        <v>1</v>
      </c>
      <c r="F148" s="156" t="s">
        <v>151</v>
      </c>
      <c r="H148" s="157">
        <v>570.06500000000005</v>
      </c>
      <c r="I148" s="158"/>
      <c r="L148" s="154"/>
      <c r="M148" s="159"/>
      <c r="T148" s="160"/>
      <c r="AT148" s="155" t="s">
        <v>138</v>
      </c>
      <c r="AU148" s="155" t="s">
        <v>90</v>
      </c>
      <c r="AV148" s="13" t="s">
        <v>90</v>
      </c>
      <c r="AW148" s="13" t="s">
        <v>35</v>
      </c>
      <c r="AX148" s="13" t="s">
        <v>88</v>
      </c>
      <c r="AY148" s="155" t="s">
        <v>126</v>
      </c>
    </row>
    <row r="149" spans="2:65" s="1" customFormat="1" ht="24.2" customHeight="1">
      <c r="B149" s="30"/>
      <c r="C149" s="130" t="s">
        <v>152</v>
      </c>
      <c r="D149" s="130" t="s">
        <v>128</v>
      </c>
      <c r="E149" s="131" t="s">
        <v>129</v>
      </c>
      <c r="F149" s="132" t="s">
        <v>130</v>
      </c>
      <c r="G149" s="133" t="s">
        <v>131</v>
      </c>
      <c r="H149" s="134">
        <v>1122.5899999999999</v>
      </c>
      <c r="I149" s="135"/>
      <c r="J149" s="136">
        <f>ROUND(I149*H149,2)</f>
        <v>0</v>
      </c>
      <c r="K149" s="132" t="s">
        <v>132</v>
      </c>
      <c r="L149" s="30"/>
      <c r="M149" s="137" t="s">
        <v>1</v>
      </c>
      <c r="N149" s="138" t="s">
        <v>45</v>
      </c>
      <c r="P149" s="139">
        <f>O149*H149</f>
        <v>0</v>
      </c>
      <c r="Q149" s="139">
        <v>0</v>
      </c>
      <c r="R149" s="139">
        <f>Q149*H149</f>
        <v>0</v>
      </c>
      <c r="S149" s="139">
        <v>0</v>
      </c>
      <c r="T149" s="140">
        <f>S149*H149</f>
        <v>0</v>
      </c>
      <c r="AR149" s="141" t="s">
        <v>133</v>
      </c>
      <c r="AT149" s="141" t="s">
        <v>128</v>
      </c>
      <c r="AU149" s="141" t="s">
        <v>90</v>
      </c>
      <c r="AY149" s="15" t="s">
        <v>126</v>
      </c>
      <c r="BE149" s="142">
        <f>IF(N149="základní",J149,0)</f>
        <v>0</v>
      </c>
      <c r="BF149" s="142">
        <f>IF(N149="snížená",J149,0)</f>
        <v>0</v>
      </c>
      <c r="BG149" s="142">
        <f>IF(N149="zákl. přenesená",J149,0)</f>
        <v>0</v>
      </c>
      <c r="BH149" s="142">
        <f>IF(N149="sníž. přenesená",J149,0)</f>
        <v>0</v>
      </c>
      <c r="BI149" s="142">
        <f>IF(N149="nulová",J149,0)</f>
        <v>0</v>
      </c>
      <c r="BJ149" s="15" t="s">
        <v>88</v>
      </c>
      <c r="BK149" s="142">
        <f>ROUND(I149*H149,2)</f>
        <v>0</v>
      </c>
      <c r="BL149" s="15" t="s">
        <v>133</v>
      </c>
      <c r="BM149" s="141" t="s">
        <v>153</v>
      </c>
    </row>
    <row r="150" spans="2:65" s="1" customFormat="1" ht="19.5">
      <c r="B150" s="30"/>
      <c r="D150" s="143" t="s">
        <v>135</v>
      </c>
      <c r="F150" s="144" t="s">
        <v>130</v>
      </c>
      <c r="I150" s="145"/>
      <c r="L150" s="30"/>
      <c r="M150" s="146"/>
      <c r="T150" s="54"/>
      <c r="AT150" s="15" t="s">
        <v>135</v>
      </c>
      <c r="AU150" s="15" t="s">
        <v>90</v>
      </c>
    </row>
    <row r="151" spans="2:65" s="1" customFormat="1" ht="78">
      <c r="B151" s="30"/>
      <c r="D151" s="143" t="s">
        <v>136</v>
      </c>
      <c r="F151" s="147" t="s">
        <v>137</v>
      </c>
      <c r="I151" s="145"/>
      <c r="L151" s="30"/>
      <c r="M151" s="146"/>
      <c r="T151" s="54"/>
      <c r="AT151" s="15" t="s">
        <v>136</v>
      </c>
      <c r="AU151" s="15" t="s">
        <v>90</v>
      </c>
    </row>
    <row r="152" spans="2:65" s="12" customFormat="1" ht="11.25">
      <c r="B152" s="148"/>
      <c r="D152" s="143" t="s">
        <v>138</v>
      </c>
      <c r="E152" s="149" t="s">
        <v>1</v>
      </c>
      <c r="F152" s="150" t="s">
        <v>154</v>
      </c>
      <c r="H152" s="149" t="s">
        <v>1</v>
      </c>
      <c r="I152" s="151"/>
      <c r="L152" s="148"/>
      <c r="M152" s="152"/>
      <c r="T152" s="153"/>
      <c r="AT152" s="149" t="s">
        <v>138</v>
      </c>
      <c r="AU152" s="149" t="s">
        <v>90</v>
      </c>
      <c r="AV152" s="12" t="s">
        <v>88</v>
      </c>
      <c r="AW152" s="12" t="s">
        <v>35</v>
      </c>
      <c r="AX152" s="12" t="s">
        <v>80</v>
      </c>
      <c r="AY152" s="149" t="s">
        <v>126</v>
      </c>
    </row>
    <row r="153" spans="2:65" s="12" customFormat="1" ht="11.25">
      <c r="B153" s="148"/>
      <c r="D153" s="143" t="s">
        <v>138</v>
      </c>
      <c r="E153" s="149" t="s">
        <v>1</v>
      </c>
      <c r="F153" s="150" t="s">
        <v>155</v>
      </c>
      <c r="H153" s="149" t="s">
        <v>1</v>
      </c>
      <c r="I153" s="151"/>
      <c r="L153" s="148"/>
      <c r="M153" s="152"/>
      <c r="T153" s="153"/>
      <c r="AT153" s="149" t="s">
        <v>138</v>
      </c>
      <c r="AU153" s="149" t="s">
        <v>90</v>
      </c>
      <c r="AV153" s="12" t="s">
        <v>88</v>
      </c>
      <c r="AW153" s="12" t="s">
        <v>35</v>
      </c>
      <c r="AX153" s="12" t="s">
        <v>80</v>
      </c>
      <c r="AY153" s="149" t="s">
        <v>126</v>
      </c>
    </row>
    <row r="154" spans="2:65" s="12" customFormat="1" ht="11.25">
      <c r="B154" s="148"/>
      <c r="D154" s="143" t="s">
        <v>138</v>
      </c>
      <c r="E154" s="149" t="s">
        <v>1</v>
      </c>
      <c r="F154" s="150" t="s">
        <v>142</v>
      </c>
      <c r="H154" s="149" t="s">
        <v>1</v>
      </c>
      <c r="I154" s="151"/>
      <c r="L154" s="148"/>
      <c r="M154" s="152"/>
      <c r="T154" s="153"/>
      <c r="AT154" s="149" t="s">
        <v>138</v>
      </c>
      <c r="AU154" s="149" t="s">
        <v>90</v>
      </c>
      <c r="AV154" s="12" t="s">
        <v>88</v>
      </c>
      <c r="AW154" s="12" t="s">
        <v>35</v>
      </c>
      <c r="AX154" s="12" t="s">
        <v>80</v>
      </c>
      <c r="AY154" s="149" t="s">
        <v>126</v>
      </c>
    </row>
    <row r="155" spans="2:65" s="12" customFormat="1" ht="11.25">
      <c r="B155" s="148"/>
      <c r="D155" s="143" t="s">
        <v>138</v>
      </c>
      <c r="E155" s="149" t="s">
        <v>1</v>
      </c>
      <c r="F155" s="150" t="s">
        <v>156</v>
      </c>
      <c r="H155" s="149" t="s">
        <v>1</v>
      </c>
      <c r="I155" s="151"/>
      <c r="L155" s="148"/>
      <c r="M155" s="152"/>
      <c r="T155" s="153"/>
      <c r="AT155" s="149" t="s">
        <v>138</v>
      </c>
      <c r="AU155" s="149" t="s">
        <v>90</v>
      </c>
      <c r="AV155" s="12" t="s">
        <v>88</v>
      </c>
      <c r="AW155" s="12" t="s">
        <v>35</v>
      </c>
      <c r="AX155" s="12" t="s">
        <v>80</v>
      </c>
      <c r="AY155" s="149" t="s">
        <v>126</v>
      </c>
    </row>
    <row r="156" spans="2:65" s="13" customFormat="1" ht="11.25">
      <c r="B156" s="154"/>
      <c r="D156" s="143" t="s">
        <v>138</v>
      </c>
      <c r="E156" s="155" t="s">
        <v>1</v>
      </c>
      <c r="F156" s="156" t="s">
        <v>157</v>
      </c>
      <c r="H156" s="157">
        <v>1122.5899999999999</v>
      </c>
      <c r="I156" s="158"/>
      <c r="L156" s="154"/>
      <c r="M156" s="159"/>
      <c r="T156" s="160"/>
      <c r="AT156" s="155" t="s">
        <v>138</v>
      </c>
      <c r="AU156" s="155" t="s">
        <v>90</v>
      </c>
      <c r="AV156" s="13" t="s">
        <v>90</v>
      </c>
      <c r="AW156" s="13" t="s">
        <v>35</v>
      </c>
      <c r="AX156" s="13" t="s">
        <v>88</v>
      </c>
      <c r="AY156" s="155" t="s">
        <v>126</v>
      </c>
    </row>
    <row r="157" spans="2:65" s="1" customFormat="1" ht="37.9" customHeight="1">
      <c r="B157" s="30"/>
      <c r="C157" s="130" t="s">
        <v>158</v>
      </c>
      <c r="D157" s="130" t="s">
        <v>128</v>
      </c>
      <c r="E157" s="131" t="s">
        <v>159</v>
      </c>
      <c r="F157" s="132" t="s">
        <v>160</v>
      </c>
      <c r="G157" s="133" t="s">
        <v>161</v>
      </c>
      <c r="H157" s="134">
        <v>4062.3719999999998</v>
      </c>
      <c r="I157" s="135"/>
      <c r="J157" s="136">
        <f>ROUND(I157*H157,2)</f>
        <v>0</v>
      </c>
      <c r="K157" s="132" t="s">
        <v>132</v>
      </c>
      <c r="L157" s="30"/>
      <c r="M157" s="137" t="s">
        <v>1</v>
      </c>
      <c r="N157" s="138" t="s">
        <v>45</v>
      </c>
      <c r="P157" s="139">
        <f>O157*H157</f>
        <v>0</v>
      </c>
      <c r="Q157" s="139">
        <v>0</v>
      </c>
      <c r="R157" s="139">
        <f>Q157*H157</f>
        <v>0</v>
      </c>
      <c r="S157" s="139">
        <v>0</v>
      </c>
      <c r="T157" s="140">
        <f>S157*H157</f>
        <v>0</v>
      </c>
      <c r="AR157" s="141" t="s">
        <v>133</v>
      </c>
      <c r="AT157" s="141" t="s">
        <v>128</v>
      </c>
      <c r="AU157" s="141" t="s">
        <v>90</v>
      </c>
      <c r="AY157" s="15" t="s">
        <v>126</v>
      </c>
      <c r="BE157" s="142">
        <f>IF(N157="základní",J157,0)</f>
        <v>0</v>
      </c>
      <c r="BF157" s="142">
        <f>IF(N157="snížená",J157,0)</f>
        <v>0</v>
      </c>
      <c r="BG157" s="142">
        <f>IF(N157="zákl. přenesená",J157,0)</f>
        <v>0</v>
      </c>
      <c r="BH157" s="142">
        <f>IF(N157="sníž. přenesená",J157,0)</f>
        <v>0</v>
      </c>
      <c r="BI157" s="142">
        <f>IF(N157="nulová",J157,0)</f>
        <v>0</v>
      </c>
      <c r="BJ157" s="15" t="s">
        <v>88</v>
      </c>
      <c r="BK157" s="142">
        <f>ROUND(I157*H157,2)</f>
        <v>0</v>
      </c>
      <c r="BL157" s="15" t="s">
        <v>133</v>
      </c>
      <c r="BM157" s="141" t="s">
        <v>162</v>
      </c>
    </row>
    <row r="158" spans="2:65" s="1" customFormat="1" ht="29.25">
      <c r="B158" s="30"/>
      <c r="D158" s="143" t="s">
        <v>135</v>
      </c>
      <c r="F158" s="144" t="s">
        <v>163</v>
      </c>
      <c r="I158" s="145"/>
      <c r="L158" s="30"/>
      <c r="M158" s="146"/>
      <c r="T158" s="54"/>
      <c r="AT158" s="15" t="s">
        <v>135</v>
      </c>
      <c r="AU158" s="15" t="s">
        <v>90</v>
      </c>
    </row>
    <row r="159" spans="2:65" s="12" customFormat="1" ht="11.25">
      <c r="B159" s="148"/>
      <c r="D159" s="143" t="s">
        <v>138</v>
      </c>
      <c r="E159" s="149" t="s">
        <v>1</v>
      </c>
      <c r="F159" s="150" t="s">
        <v>164</v>
      </c>
      <c r="H159" s="149" t="s">
        <v>1</v>
      </c>
      <c r="I159" s="151"/>
      <c r="L159" s="148"/>
      <c r="M159" s="152"/>
      <c r="T159" s="153"/>
      <c r="AT159" s="149" t="s">
        <v>138</v>
      </c>
      <c r="AU159" s="149" t="s">
        <v>90</v>
      </c>
      <c r="AV159" s="12" t="s">
        <v>88</v>
      </c>
      <c r="AW159" s="12" t="s">
        <v>35</v>
      </c>
      <c r="AX159" s="12" t="s">
        <v>80</v>
      </c>
      <c r="AY159" s="149" t="s">
        <v>126</v>
      </c>
    </row>
    <row r="160" spans="2:65" s="12" customFormat="1" ht="11.25">
      <c r="B160" s="148"/>
      <c r="D160" s="143" t="s">
        <v>138</v>
      </c>
      <c r="E160" s="149" t="s">
        <v>1</v>
      </c>
      <c r="F160" s="150" t="s">
        <v>165</v>
      </c>
      <c r="H160" s="149" t="s">
        <v>1</v>
      </c>
      <c r="I160" s="151"/>
      <c r="L160" s="148"/>
      <c r="M160" s="152"/>
      <c r="T160" s="153"/>
      <c r="AT160" s="149" t="s">
        <v>138</v>
      </c>
      <c r="AU160" s="149" t="s">
        <v>90</v>
      </c>
      <c r="AV160" s="12" t="s">
        <v>88</v>
      </c>
      <c r="AW160" s="12" t="s">
        <v>35</v>
      </c>
      <c r="AX160" s="12" t="s">
        <v>80</v>
      </c>
      <c r="AY160" s="149" t="s">
        <v>126</v>
      </c>
    </row>
    <row r="161" spans="2:65" s="12" customFormat="1" ht="11.25">
      <c r="B161" s="148"/>
      <c r="D161" s="143" t="s">
        <v>138</v>
      </c>
      <c r="E161" s="149" t="s">
        <v>1</v>
      </c>
      <c r="F161" s="150" t="s">
        <v>166</v>
      </c>
      <c r="H161" s="149" t="s">
        <v>1</v>
      </c>
      <c r="I161" s="151"/>
      <c r="L161" s="148"/>
      <c r="M161" s="152"/>
      <c r="T161" s="153"/>
      <c r="AT161" s="149" t="s">
        <v>138</v>
      </c>
      <c r="AU161" s="149" t="s">
        <v>90</v>
      </c>
      <c r="AV161" s="12" t="s">
        <v>88</v>
      </c>
      <c r="AW161" s="12" t="s">
        <v>35</v>
      </c>
      <c r="AX161" s="12" t="s">
        <v>80</v>
      </c>
      <c r="AY161" s="149" t="s">
        <v>126</v>
      </c>
    </row>
    <row r="162" spans="2:65" s="12" customFormat="1" ht="11.25">
      <c r="B162" s="148"/>
      <c r="D162" s="143" t="s">
        <v>138</v>
      </c>
      <c r="E162" s="149" t="s">
        <v>1</v>
      </c>
      <c r="F162" s="150" t="s">
        <v>167</v>
      </c>
      <c r="H162" s="149" t="s">
        <v>1</v>
      </c>
      <c r="I162" s="151"/>
      <c r="L162" s="148"/>
      <c r="M162" s="152"/>
      <c r="T162" s="153"/>
      <c r="AT162" s="149" t="s">
        <v>138</v>
      </c>
      <c r="AU162" s="149" t="s">
        <v>90</v>
      </c>
      <c r="AV162" s="12" t="s">
        <v>88</v>
      </c>
      <c r="AW162" s="12" t="s">
        <v>35</v>
      </c>
      <c r="AX162" s="12" t="s">
        <v>80</v>
      </c>
      <c r="AY162" s="149" t="s">
        <v>126</v>
      </c>
    </row>
    <row r="163" spans="2:65" s="13" customFormat="1" ht="11.25">
      <c r="B163" s="154"/>
      <c r="D163" s="143" t="s">
        <v>138</v>
      </c>
      <c r="E163" s="155" t="s">
        <v>1</v>
      </c>
      <c r="F163" s="156" t="s">
        <v>168</v>
      </c>
      <c r="H163" s="157">
        <v>4062.3719999999998</v>
      </c>
      <c r="I163" s="158"/>
      <c r="L163" s="154"/>
      <c r="M163" s="159"/>
      <c r="T163" s="160"/>
      <c r="AT163" s="155" t="s">
        <v>138</v>
      </c>
      <c r="AU163" s="155" t="s">
        <v>90</v>
      </c>
      <c r="AV163" s="13" t="s">
        <v>90</v>
      </c>
      <c r="AW163" s="13" t="s">
        <v>35</v>
      </c>
      <c r="AX163" s="13" t="s">
        <v>88</v>
      </c>
      <c r="AY163" s="155" t="s">
        <v>126</v>
      </c>
    </row>
    <row r="164" spans="2:65" s="1" customFormat="1" ht="16.5" customHeight="1">
      <c r="B164" s="30"/>
      <c r="C164" s="130" t="s">
        <v>169</v>
      </c>
      <c r="D164" s="130" t="s">
        <v>128</v>
      </c>
      <c r="E164" s="131" t="s">
        <v>170</v>
      </c>
      <c r="F164" s="132" t="s">
        <v>171</v>
      </c>
      <c r="G164" s="133" t="s">
        <v>172</v>
      </c>
      <c r="H164" s="134">
        <v>2197.5</v>
      </c>
      <c r="I164" s="135"/>
      <c r="J164" s="136">
        <f>ROUND(I164*H164,2)</f>
        <v>0</v>
      </c>
      <c r="K164" s="132" t="s">
        <v>132</v>
      </c>
      <c r="L164" s="30"/>
      <c r="M164" s="137" t="s">
        <v>1</v>
      </c>
      <c r="N164" s="138" t="s">
        <v>45</v>
      </c>
      <c r="P164" s="139">
        <f>O164*H164</f>
        <v>0</v>
      </c>
      <c r="Q164" s="139">
        <v>0</v>
      </c>
      <c r="R164" s="139">
        <f>Q164*H164</f>
        <v>0</v>
      </c>
      <c r="S164" s="139">
        <v>0</v>
      </c>
      <c r="T164" s="140">
        <f>S164*H164</f>
        <v>0</v>
      </c>
      <c r="AR164" s="141" t="s">
        <v>133</v>
      </c>
      <c r="AT164" s="141" t="s">
        <v>128</v>
      </c>
      <c r="AU164" s="141" t="s">
        <v>90</v>
      </c>
      <c r="AY164" s="15" t="s">
        <v>126</v>
      </c>
      <c r="BE164" s="142">
        <f>IF(N164="základní",J164,0)</f>
        <v>0</v>
      </c>
      <c r="BF164" s="142">
        <f>IF(N164="snížená",J164,0)</f>
        <v>0</v>
      </c>
      <c r="BG164" s="142">
        <f>IF(N164="zákl. přenesená",J164,0)</f>
        <v>0</v>
      </c>
      <c r="BH164" s="142">
        <f>IF(N164="sníž. přenesená",J164,0)</f>
        <v>0</v>
      </c>
      <c r="BI164" s="142">
        <f>IF(N164="nulová",J164,0)</f>
        <v>0</v>
      </c>
      <c r="BJ164" s="15" t="s">
        <v>88</v>
      </c>
      <c r="BK164" s="142">
        <f>ROUND(I164*H164,2)</f>
        <v>0</v>
      </c>
      <c r="BL164" s="15" t="s">
        <v>133</v>
      </c>
      <c r="BM164" s="141" t="s">
        <v>173</v>
      </c>
    </row>
    <row r="165" spans="2:65" s="1" customFormat="1" ht="11.25">
      <c r="B165" s="30"/>
      <c r="D165" s="143" t="s">
        <v>135</v>
      </c>
      <c r="F165" s="144" t="s">
        <v>171</v>
      </c>
      <c r="I165" s="145"/>
      <c r="L165" s="30"/>
      <c r="M165" s="146"/>
      <c r="T165" s="54"/>
      <c r="AT165" s="15" t="s">
        <v>135</v>
      </c>
      <c r="AU165" s="15" t="s">
        <v>90</v>
      </c>
    </row>
    <row r="166" spans="2:65" s="1" customFormat="1" ht="68.25">
      <c r="B166" s="30"/>
      <c r="D166" s="143" t="s">
        <v>136</v>
      </c>
      <c r="F166" s="147" t="s">
        <v>174</v>
      </c>
      <c r="I166" s="145"/>
      <c r="L166" s="30"/>
      <c r="M166" s="146"/>
      <c r="T166" s="54"/>
      <c r="AT166" s="15" t="s">
        <v>136</v>
      </c>
      <c r="AU166" s="15" t="s">
        <v>90</v>
      </c>
    </row>
    <row r="167" spans="2:65" s="12" customFormat="1" ht="22.5">
      <c r="B167" s="148"/>
      <c r="D167" s="143" t="s">
        <v>138</v>
      </c>
      <c r="E167" s="149" t="s">
        <v>1</v>
      </c>
      <c r="F167" s="150" t="s">
        <v>175</v>
      </c>
      <c r="H167" s="149" t="s">
        <v>1</v>
      </c>
      <c r="I167" s="151"/>
      <c r="L167" s="148"/>
      <c r="M167" s="152"/>
      <c r="T167" s="153"/>
      <c r="AT167" s="149" t="s">
        <v>138</v>
      </c>
      <c r="AU167" s="149" t="s">
        <v>90</v>
      </c>
      <c r="AV167" s="12" t="s">
        <v>88</v>
      </c>
      <c r="AW167" s="12" t="s">
        <v>35</v>
      </c>
      <c r="AX167" s="12" t="s">
        <v>80</v>
      </c>
      <c r="AY167" s="149" t="s">
        <v>126</v>
      </c>
    </row>
    <row r="168" spans="2:65" s="12" customFormat="1" ht="22.5">
      <c r="B168" s="148"/>
      <c r="D168" s="143" t="s">
        <v>138</v>
      </c>
      <c r="E168" s="149" t="s">
        <v>1</v>
      </c>
      <c r="F168" s="150" t="s">
        <v>176</v>
      </c>
      <c r="H168" s="149" t="s">
        <v>1</v>
      </c>
      <c r="I168" s="151"/>
      <c r="L168" s="148"/>
      <c r="M168" s="152"/>
      <c r="T168" s="153"/>
      <c r="AT168" s="149" t="s">
        <v>138</v>
      </c>
      <c r="AU168" s="149" t="s">
        <v>90</v>
      </c>
      <c r="AV168" s="12" t="s">
        <v>88</v>
      </c>
      <c r="AW168" s="12" t="s">
        <v>35</v>
      </c>
      <c r="AX168" s="12" t="s">
        <v>80</v>
      </c>
      <c r="AY168" s="149" t="s">
        <v>126</v>
      </c>
    </row>
    <row r="169" spans="2:65" s="12" customFormat="1" ht="11.25">
      <c r="B169" s="148"/>
      <c r="D169" s="143" t="s">
        <v>138</v>
      </c>
      <c r="E169" s="149" t="s">
        <v>1</v>
      </c>
      <c r="F169" s="150" t="s">
        <v>177</v>
      </c>
      <c r="H169" s="149" t="s">
        <v>1</v>
      </c>
      <c r="I169" s="151"/>
      <c r="L169" s="148"/>
      <c r="M169" s="152"/>
      <c r="T169" s="153"/>
      <c r="AT169" s="149" t="s">
        <v>138</v>
      </c>
      <c r="AU169" s="149" t="s">
        <v>90</v>
      </c>
      <c r="AV169" s="12" t="s">
        <v>88</v>
      </c>
      <c r="AW169" s="12" t="s">
        <v>35</v>
      </c>
      <c r="AX169" s="12" t="s">
        <v>80</v>
      </c>
      <c r="AY169" s="149" t="s">
        <v>126</v>
      </c>
    </row>
    <row r="170" spans="2:65" s="12" customFormat="1" ht="11.25">
      <c r="B170" s="148"/>
      <c r="D170" s="143" t="s">
        <v>138</v>
      </c>
      <c r="E170" s="149" t="s">
        <v>1</v>
      </c>
      <c r="F170" s="150" t="s">
        <v>178</v>
      </c>
      <c r="H170" s="149" t="s">
        <v>1</v>
      </c>
      <c r="I170" s="151"/>
      <c r="L170" s="148"/>
      <c r="M170" s="152"/>
      <c r="T170" s="153"/>
      <c r="AT170" s="149" t="s">
        <v>138</v>
      </c>
      <c r="AU170" s="149" t="s">
        <v>90</v>
      </c>
      <c r="AV170" s="12" t="s">
        <v>88</v>
      </c>
      <c r="AW170" s="12" t="s">
        <v>35</v>
      </c>
      <c r="AX170" s="12" t="s">
        <v>80</v>
      </c>
      <c r="AY170" s="149" t="s">
        <v>126</v>
      </c>
    </row>
    <row r="171" spans="2:65" s="12" customFormat="1" ht="11.25">
      <c r="B171" s="148"/>
      <c r="D171" s="143" t="s">
        <v>138</v>
      </c>
      <c r="E171" s="149" t="s">
        <v>1</v>
      </c>
      <c r="F171" s="150" t="s">
        <v>179</v>
      </c>
      <c r="H171" s="149" t="s">
        <v>1</v>
      </c>
      <c r="I171" s="151"/>
      <c r="L171" s="148"/>
      <c r="M171" s="152"/>
      <c r="T171" s="153"/>
      <c r="AT171" s="149" t="s">
        <v>138</v>
      </c>
      <c r="AU171" s="149" t="s">
        <v>90</v>
      </c>
      <c r="AV171" s="12" t="s">
        <v>88</v>
      </c>
      <c r="AW171" s="12" t="s">
        <v>35</v>
      </c>
      <c r="AX171" s="12" t="s">
        <v>80</v>
      </c>
      <c r="AY171" s="149" t="s">
        <v>126</v>
      </c>
    </row>
    <row r="172" spans="2:65" s="12" customFormat="1" ht="11.25">
      <c r="B172" s="148"/>
      <c r="D172" s="143" t="s">
        <v>138</v>
      </c>
      <c r="E172" s="149" t="s">
        <v>1</v>
      </c>
      <c r="F172" s="150" t="s">
        <v>180</v>
      </c>
      <c r="H172" s="149" t="s">
        <v>1</v>
      </c>
      <c r="I172" s="151"/>
      <c r="L172" s="148"/>
      <c r="M172" s="152"/>
      <c r="T172" s="153"/>
      <c r="AT172" s="149" t="s">
        <v>138</v>
      </c>
      <c r="AU172" s="149" t="s">
        <v>90</v>
      </c>
      <c r="AV172" s="12" t="s">
        <v>88</v>
      </c>
      <c r="AW172" s="12" t="s">
        <v>35</v>
      </c>
      <c r="AX172" s="12" t="s">
        <v>80</v>
      </c>
      <c r="AY172" s="149" t="s">
        <v>126</v>
      </c>
    </row>
    <row r="173" spans="2:65" s="12" customFormat="1" ht="11.25">
      <c r="B173" s="148"/>
      <c r="D173" s="143" t="s">
        <v>138</v>
      </c>
      <c r="E173" s="149" t="s">
        <v>1</v>
      </c>
      <c r="F173" s="150" t="s">
        <v>181</v>
      </c>
      <c r="H173" s="149" t="s">
        <v>1</v>
      </c>
      <c r="I173" s="151"/>
      <c r="L173" s="148"/>
      <c r="M173" s="152"/>
      <c r="T173" s="153"/>
      <c r="AT173" s="149" t="s">
        <v>138</v>
      </c>
      <c r="AU173" s="149" t="s">
        <v>90</v>
      </c>
      <c r="AV173" s="12" t="s">
        <v>88</v>
      </c>
      <c r="AW173" s="12" t="s">
        <v>35</v>
      </c>
      <c r="AX173" s="12" t="s">
        <v>80</v>
      </c>
      <c r="AY173" s="149" t="s">
        <v>126</v>
      </c>
    </row>
    <row r="174" spans="2:65" s="12" customFormat="1" ht="11.25">
      <c r="B174" s="148"/>
      <c r="D174" s="143" t="s">
        <v>138</v>
      </c>
      <c r="E174" s="149" t="s">
        <v>1</v>
      </c>
      <c r="F174" s="150" t="s">
        <v>182</v>
      </c>
      <c r="H174" s="149" t="s">
        <v>1</v>
      </c>
      <c r="I174" s="151"/>
      <c r="L174" s="148"/>
      <c r="M174" s="152"/>
      <c r="T174" s="153"/>
      <c r="AT174" s="149" t="s">
        <v>138</v>
      </c>
      <c r="AU174" s="149" t="s">
        <v>90</v>
      </c>
      <c r="AV174" s="12" t="s">
        <v>88</v>
      </c>
      <c r="AW174" s="12" t="s">
        <v>35</v>
      </c>
      <c r="AX174" s="12" t="s">
        <v>80</v>
      </c>
      <c r="AY174" s="149" t="s">
        <v>126</v>
      </c>
    </row>
    <row r="175" spans="2:65" s="12" customFormat="1" ht="11.25">
      <c r="B175" s="148"/>
      <c r="D175" s="143" t="s">
        <v>138</v>
      </c>
      <c r="E175" s="149" t="s">
        <v>1</v>
      </c>
      <c r="F175" s="150" t="s">
        <v>178</v>
      </c>
      <c r="H175" s="149" t="s">
        <v>1</v>
      </c>
      <c r="I175" s="151"/>
      <c r="L175" s="148"/>
      <c r="M175" s="152"/>
      <c r="T175" s="153"/>
      <c r="AT175" s="149" t="s">
        <v>138</v>
      </c>
      <c r="AU175" s="149" t="s">
        <v>90</v>
      </c>
      <c r="AV175" s="12" t="s">
        <v>88</v>
      </c>
      <c r="AW175" s="12" t="s">
        <v>35</v>
      </c>
      <c r="AX175" s="12" t="s">
        <v>80</v>
      </c>
      <c r="AY175" s="149" t="s">
        <v>126</v>
      </c>
    </row>
    <row r="176" spans="2:65" s="13" customFormat="1" ht="11.25">
      <c r="B176" s="154"/>
      <c r="D176" s="143" t="s">
        <v>138</v>
      </c>
      <c r="E176" s="155" t="s">
        <v>1</v>
      </c>
      <c r="F176" s="156" t="s">
        <v>183</v>
      </c>
      <c r="H176" s="157">
        <v>2197.5</v>
      </c>
      <c r="I176" s="158"/>
      <c r="L176" s="154"/>
      <c r="M176" s="159"/>
      <c r="T176" s="160"/>
      <c r="AT176" s="155" t="s">
        <v>138</v>
      </c>
      <c r="AU176" s="155" t="s">
        <v>90</v>
      </c>
      <c r="AV176" s="13" t="s">
        <v>90</v>
      </c>
      <c r="AW176" s="13" t="s">
        <v>35</v>
      </c>
      <c r="AX176" s="13" t="s">
        <v>88</v>
      </c>
      <c r="AY176" s="155" t="s">
        <v>126</v>
      </c>
    </row>
    <row r="177" spans="2:65" s="1" customFormat="1" ht="16.5" customHeight="1">
      <c r="B177" s="30"/>
      <c r="C177" s="130" t="s">
        <v>184</v>
      </c>
      <c r="D177" s="130" t="s">
        <v>128</v>
      </c>
      <c r="E177" s="131" t="s">
        <v>185</v>
      </c>
      <c r="F177" s="132" t="s">
        <v>186</v>
      </c>
      <c r="G177" s="133" t="s">
        <v>187</v>
      </c>
      <c r="H177" s="134">
        <v>1008</v>
      </c>
      <c r="I177" s="135"/>
      <c r="J177" s="136">
        <f>ROUND(I177*H177,2)</f>
        <v>0</v>
      </c>
      <c r="K177" s="132" t="s">
        <v>132</v>
      </c>
      <c r="L177" s="30"/>
      <c r="M177" s="137" t="s">
        <v>1</v>
      </c>
      <c r="N177" s="138" t="s">
        <v>45</v>
      </c>
      <c r="P177" s="139">
        <f>O177*H177</f>
        <v>0</v>
      </c>
      <c r="Q177" s="139">
        <v>0</v>
      </c>
      <c r="R177" s="139">
        <f>Q177*H177</f>
        <v>0</v>
      </c>
      <c r="S177" s="139">
        <v>0</v>
      </c>
      <c r="T177" s="140">
        <f>S177*H177</f>
        <v>0</v>
      </c>
      <c r="AR177" s="141" t="s">
        <v>133</v>
      </c>
      <c r="AT177" s="141" t="s">
        <v>128</v>
      </c>
      <c r="AU177" s="141" t="s">
        <v>90</v>
      </c>
      <c r="AY177" s="15" t="s">
        <v>126</v>
      </c>
      <c r="BE177" s="142">
        <f>IF(N177="základní",J177,0)</f>
        <v>0</v>
      </c>
      <c r="BF177" s="142">
        <f>IF(N177="snížená",J177,0)</f>
        <v>0</v>
      </c>
      <c r="BG177" s="142">
        <f>IF(N177="zákl. přenesená",J177,0)</f>
        <v>0</v>
      </c>
      <c r="BH177" s="142">
        <f>IF(N177="sníž. přenesená",J177,0)</f>
        <v>0</v>
      </c>
      <c r="BI177" s="142">
        <f>IF(N177="nulová",J177,0)</f>
        <v>0</v>
      </c>
      <c r="BJ177" s="15" t="s">
        <v>88</v>
      </c>
      <c r="BK177" s="142">
        <f>ROUND(I177*H177,2)</f>
        <v>0</v>
      </c>
      <c r="BL177" s="15" t="s">
        <v>133</v>
      </c>
      <c r="BM177" s="141" t="s">
        <v>188</v>
      </c>
    </row>
    <row r="178" spans="2:65" s="1" customFormat="1" ht="11.25">
      <c r="B178" s="30"/>
      <c r="D178" s="143" t="s">
        <v>135</v>
      </c>
      <c r="F178" s="144" t="s">
        <v>186</v>
      </c>
      <c r="I178" s="145"/>
      <c r="L178" s="30"/>
      <c r="M178" s="146"/>
      <c r="T178" s="54"/>
      <c r="AT178" s="15" t="s">
        <v>135</v>
      </c>
      <c r="AU178" s="15" t="s">
        <v>90</v>
      </c>
    </row>
    <row r="179" spans="2:65" s="1" customFormat="1" ht="68.25">
      <c r="B179" s="30"/>
      <c r="D179" s="143" t="s">
        <v>136</v>
      </c>
      <c r="F179" s="147" t="s">
        <v>174</v>
      </c>
      <c r="I179" s="145"/>
      <c r="L179" s="30"/>
      <c r="M179" s="146"/>
      <c r="T179" s="54"/>
      <c r="AT179" s="15" t="s">
        <v>136</v>
      </c>
      <c r="AU179" s="15" t="s">
        <v>90</v>
      </c>
    </row>
    <row r="180" spans="2:65" s="12" customFormat="1" ht="11.25">
      <c r="B180" s="148"/>
      <c r="D180" s="143" t="s">
        <v>138</v>
      </c>
      <c r="E180" s="149" t="s">
        <v>1</v>
      </c>
      <c r="F180" s="150" t="s">
        <v>189</v>
      </c>
      <c r="H180" s="149" t="s">
        <v>1</v>
      </c>
      <c r="I180" s="151"/>
      <c r="L180" s="148"/>
      <c r="M180" s="152"/>
      <c r="T180" s="153"/>
      <c r="AT180" s="149" t="s">
        <v>138</v>
      </c>
      <c r="AU180" s="149" t="s">
        <v>90</v>
      </c>
      <c r="AV180" s="12" t="s">
        <v>88</v>
      </c>
      <c r="AW180" s="12" t="s">
        <v>35</v>
      </c>
      <c r="AX180" s="12" t="s">
        <v>80</v>
      </c>
      <c r="AY180" s="149" t="s">
        <v>126</v>
      </c>
    </row>
    <row r="181" spans="2:65" s="12" customFormat="1" ht="11.25">
      <c r="B181" s="148"/>
      <c r="D181" s="143" t="s">
        <v>138</v>
      </c>
      <c r="E181" s="149" t="s">
        <v>1</v>
      </c>
      <c r="F181" s="150" t="s">
        <v>190</v>
      </c>
      <c r="H181" s="149" t="s">
        <v>1</v>
      </c>
      <c r="I181" s="151"/>
      <c r="L181" s="148"/>
      <c r="M181" s="152"/>
      <c r="T181" s="153"/>
      <c r="AT181" s="149" t="s">
        <v>138</v>
      </c>
      <c r="AU181" s="149" t="s">
        <v>90</v>
      </c>
      <c r="AV181" s="12" t="s">
        <v>88</v>
      </c>
      <c r="AW181" s="12" t="s">
        <v>35</v>
      </c>
      <c r="AX181" s="12" t="s">
        <v>80</v>
      </c>
      <c r="AY181" s="149" t="s">
        <v>126</v>
      </c>
    </row>
    <row r="182" spans="2:65" s="13" customFormat="1" ht="11.25">
      <c r="B182" s="154"/>
      <c r="D182" s="143" t="s">
        <v>138</v>
      </c>
      <c r="E182" s="155" t="s">
        <v>1</v>
      </c>
      <c r="F182" s="156" t="s">
        <v>191</v>
      </c>
      <c r="H182" s="157">
        <v>1008</v>
      </c>
      <c r="I182" s="158"/>
      <c r="L182" s="154"/>
      <c r="M182" s="159"/>
      <c r="T182" s="160"/>
      <c r="AT182" s="155" t="s">
        <v>138</v>
      </c>
      <c r="AU182" s="155" t="s">
        <v>90</v>
      </c>
      <c r="AV182" s="13" t="s">
        <v>90</v>
      </c>
      <c r="AW182" s="13" t="s">
        <v>35</v>
      </c>
      <c r="AX182" s="13" t="s">
        <v>88</v>
      </c>
      <c r="AY182" s="155" t="s">
        <v>126</v>
      </c>
    </row>
    <row r="183" spans="2:65" s="11" customFormat="1" ht="22.9" customHeight="1">
      <c r="B183" s="118"/>
      <c r="D183" s="119" t="s">
        <v>79</v>
      </c>
      <c r="E183" s="128" t="s">
        <v>192</v>
      </c>
      <c r="F183" s="128" t="s">
        <v>193</v>
      </c>
      <c r="I183" s="121"/>
      <c r="J183" s="129">
        <f>BK183</f>
        <v>0</v>
      </c>
      <c r="L183" s="118"/>
      <c r="M183" s="123"/>
      <c r="P183" s="124">
        <f>SUM(P184:P272)</f>
        <v>0</v>
      </c>
      <c r="R183" s="124">
        <f>SUM(R184:R272)</f>
        <v>0</v>
      </c>
      <c r="T183" s="125">
        <f>SUM(T184:T272)</f>
        <v>0</v>
      </c>
      <c r="AR183" s="119" t="s">
        <v>88</v>
      </c>
      <c r="AT183" s="126" t="s">
        <v>79</v>
      </c>
      <c r="AU183" s="126" t="s">
        <v>88</v>
      </c>
      <c r="AY183" s="119" t="s">
        <v>126</v>
      </c>
      <c r="BK183" s="127">
        <f>SUM(BK184:BK272)</f>
        <v>0</v>
      </c>
    </row>
    <row r="184" spans="2:65" s="1" customFormat="1" ht="24.2" customHeight="1">
      <c r="B184" s="30"/>
      <c r="C184" s="130" t="s">
        <v>194</v>
      </c>
      <c r="D184" s="130" t="s">
        <v>128</v>
      </c>
      <c r="E184" s="131" t="s">
        <v>195</v>
      </c>
      <c r="F184" s="132" t="s">
        <v>196</v>
      </c>
      <c r="G184" s="133" t="s">
        <v>172</v>
      </c>
      <c r="H184" s="134">
        <v>11218</v>
      </c>
      <c r="I184" s="135"/>
      <c r="J184" s="136">
        <f>ROUND(I184*H184,2)</f>
        <v>0</v>
      </c>
      <c r="K184" s="132" t="s">
        <v>132</v>
      </c>
      <c r="L184" s="30"/>
      <c r="M184" s="137" t="s">
        <v>1</v>
      </c>
      <c r="N184" s="138" t="s">
        <v>45</v>
      </c>
      <c r="P184" s="139">
        <f>O184*H184</f>
        <v>0</v>
      </c>
      <c r="Q184" s="139">
        <v>0</v>
      </c>
      <c r="R184" s="139">
        <f>Q184*H184</f>
        <v>0</v>
      </c>
      <c r="S184" s="139">
        <v>0</v>
      </c>
      <c r="T184" s="140">
        <f>S184*H184</f>
        <v>0</v>
      </c>
      <c r="AR184" s="141" t="s">
        <v>133</v>
      </c>
      <c r="AT184" s="141" t="s">
        <v>128</v>
      </c>
      <c r="AU184" s="141" t="s">
        <v>90</v>
      </c>
      <c r="AY184" s="15" t="s">
        <v>126</v>
      </c>
      <c r="BE184" s="142">
        <f>IF(N184="základní",J184,0)</f>
        <v>0</v>
      </c>
      <c r="BF184" s="142">
        <f>IF(N184="snížená",J184,0)</f>
        <v>0</v>
      </c>
      <c r="BG184" s="142">
        <f>IF(N184="zákl. přenesená",J184,0)</f>
        <v>0</v>
      </c>
      <c r="BH184" s="142">
        <f>IF(N184="sníž. přenesená",J184,0)</f>
        <v>0</v>
      </c>
      <c r="BI184" s="142">
        <f>IF(N184="nulová",J184,0)</f>
        <v>0</v>
      </c>
      <c r="BJ184" s="15" t="s">
        <v>88</v>
      </c>
      <c r="BK184" s="142">
        <f>ROUND(I184*H184,2)</f>
        <v>0</v>
      </c>
      <c r="BL184" s="15" t="s">
        <v>133</v>
      </c>
      <c r="BM184" s="141" t="s">
        <v>197</v>
      </c>
    </row>
    <row r="185" spans="2:65" s="1" customFormat="1" ht="19.5">
      <c r="B185" s="30"/>
      <c r="D185" s="143" t="s">
        <v>135</v>
      </c>
      <c r="F185" s="144" t="s">
        <v>196</v>
      </c>
      <c r="I185" s="145"/>
      <c r="L185" s="30"/>
      <c r="M185" s="146"/>
      <c r="T185" s="54"/>
      <c r="AT185" s="15" t="s">
        <v>135</v>
      </c>
      <c r="AU185" s="15" t="s">
        <v>90</v>
      </c>
    </row>
    <row r="186" spans="2:65" s="1" customFormat="1" ht="58.5">
      <c r="B186" s="30"/>
      <c r="D186" s="143" t="s">
        <v>136</v>
      </c>
      <c r="F186" s="147" t="s">
        <v>198</v>
      </c>
      <c r="I186" s="145"/>
      <c r="L186" s="30"/>
      <c r="M186" s="146"/>
      <c r="T186" s="54"/>
      <c r="AT186" s="15" t="s">
        <v>136</v>
      </c>
      <c r="AU186" s="15" t="s">
        <v>90</v>
      </c>
    </row>
    <row r="187" spans="2:65" s="12" customFormat="1" ht="11.25">
      <c r="B187" s="148"/>
      <c r="D187" s="143" t="s">
        <v>138</v>
      </c>
      <c r="E187" s="149" t="s">
        <v>1</v>
      </c>
      <c r="F187" s="150" t="s">
        <v>199</v>
      </c>
      <c r="H187" s="149" t="s">
        <v>1</v>
      </c>
      <c r="I187" s="151"/>
      <c r="L187" s="148"/>
      <c r="M187" s="152"/>
      <c r="T187" s="153"/>
      <c r="AT187" s="149" t="s">
        <v>138</v>
      </c>
      <c r="AU187" s="149" t="s">
        <v>90</v>
      </c>
      <c r="AV187" s="12" t="s">
        <v>88</v>
      </c>
      <c r="AW187" s="12" t="s">
        <v>35</v>
      </c>
      <c r="AX187" s="12" t="s">
        <v>80</v>
      </c>
      <c r="AY187" s="149" t="s">
        <v>126</v>
      </c>
    </row>
    <row r="188" spans="2:65" s="12" customFormat="1" ht="11.25">
      <c r="B188" s="148"/>
      <c r="D188" s="143" t="s">
        <v>138</v>
      </c>
      <c r="E188" s="149" t="s">
        <v>1</v>
      </c>
      <c r="F188" s="150" t="s">
        <v>200</v>
      </c>
      <c r="H188" s="149" t="s">
        <v>1</v>
      </c>
      <c r="I188" s="151"/>
      <c r="L188" s="148"/>
      <c r="M188" s="152"/>
      <c r="T188" s="153"/>
      <c r="AT188" s="149" t="s">
        <v>138</v>
      </c>
      <c r="AU188" s="149" t="s">
        <v>90</v>
      </c>
      <c r="AV188" s="12" t="s">
        <v>88</v>
      </c>
      <c r="AW188" s="12" t="s">
        <v>35</v>
      </c>
      <c r="AX188" s="12" t="s">
        <v>80</v>
      </c>
      <c r="AY188" s="149" t="s">
        <v>126</v>
      </c>
    </row>
    <row r="189" spans="2:65" s="12" customFormat="1" ht="11.25">
      <c r="B189" s="148"/>
      <c r="D189" s="143" t="s">
        <v>138</v>
      </c>
      <c r="E189" s="149" t="s">
        <v>1</v>
      </c>
      <c r="F189" s="150" t="s">
        <v>201</v>
      </c>
      <c r="H189" s="149" t="s">
        <v>1</v>
      </c>
      <c r="I189" s="151"/>
      <c r="L189" s="148"/>
      <c r="M189" s="152"/>
      <c r="T189" s="153"/>
      <c r="AT189" s="149" t="s">
        <v>138</v>
      </c>
      <c r="AU189" s="149" t="s">
        <v>90</v>
      </c>
      <c r="AV189" s="12" t="s">
        <v>88</v>
      </c>
      <c r="AW189" s="12" t="s">
        <v>35</v>
      </c>
      <c r="AX189" s="12" t="s">
        <v>80</v>
      </c>
      <c r="AY189" s="149" t="s">
        <v>126</v>
      </c>
    </row>
    <row r="190" spans="2:65" s="12" customFormat="1" ht="33.75">
      <c r="B190" s="148"/>
      <c r="D190" s="143" t="s">
        <v>138</v>
      </c>
      <c r="E190" s="149" t="s">
        <v>1</v>
      </c>
      <c r="F190" s="150" t="s">
        <v>202</v>
      </c>
      <c r="H190" s="149" t="s">
        <v>1</v>
      </c>
      <c r="I190" s="151"/>
      <c r="L190" s="148"/>
      <c r="M190" s="152"/>
      <c r="T190" s="153"/>
      <c r="AT190" s="149" t="s">
        <v>138</v>
      </c>
      <c r="AU190" s="149" t="s">
        <v>90</v>
      </c>
      <c r="AV190" s="12" t="s">
        <v>88</v>
      </c>
      <c r="AW190" s="12" t="s">
        <v>35</v>
      </c>
      <c r="AX190" s="12" t="s">
        <v>80</v>
      </c>
      <c r="AY190" s="149" t="s">
        <v>126</v>
      </c>
    </row>
    <row r="191" spans="2:65" s="12" customFormat="1" ht="33.75">
      <c r="B191" s="148"/>
      <c r="D191" s="143" t="s">
        <v>138</v>
      </c>
      <c r="E191" s="149" t="s">
        <v>1</v>
      </c>
      <c r="F191" s="150" t="s">
        <v>203</v>
      </c>
      <c r="H191" s="149" t="s">
        <v>1</v>
      </c>
      <c r="I191" s="151"/>
      <c r="L191" s="148"/>
      <c r="M191" s="152"/>
      <c r="T191" s="153"/>
      <c r="AT191" s="149" t="s">
        <v>138</v>
      </c>
      <c r="AU191" s="149" t="s">
        <v>90</v>
      </c>
      <c r="AV191" s="12" t="s">
        <v>88</v>
      </c>
      <c r="AW191" s="12" t="s">
        <v>35</v>
      </c>
      <c r="AX191" s="12" t="s">
        <v>80</v>
      </c>
      <c r="AY191" s="149" t="s">
        <v>126</v>
      </c>
    </row>
    <row r="192" spans="2:65" s="12" customFormat="1" ht="33.75">
      <c r="B192" s="148"/>
      <c r="D192" s="143" t="s">
        <v>138</v>
      </c>
      <c r="E192" s="149" t="s">
        <v>1</v>
      </c>
      <c r="F192" s="150" t="s">
        <v>204</v>
      </c>
      <c r="H192" s="149" t="s">
        <v>1</v>
      </c>
      <c r="I192" s="151"/>
      <c r="L192" s="148"/>
      <c r="M192" s="152"/>
      <c r="T192" s="153"/>
      <c r="AT192" s="149" t="s">
        <v>138</v>
      </c>
      <c r="AU192" s="149" t="s">
        <v>90</v>
      </c>
      <c r="AV192" s="12" t="s">
        <v>88</v>
      </c>
      <c r="AW192" s="12" t="s">
        <v>35</v>
      </c>
      <c r="AX192" s="12" t="s">
        <v>80</v>
      </c>
      <c r="AY192" s="149" t="s">
        <v>126</v>
      </c>
    </row>
    <row r="193" spans="2:65" s="12" customFormat="1" ht="22.5">
      <c r="B193" s="148"/>
      <c r="D193" s="143" t="s">
        <v>138</v>
      </c>
      <c r="E193" s="149" t="s">
        <v>1</v>
      </c>
      <c r="F193" s="150" t="s">
        <v>205</v>
      </c>
      <c r="H193" s="149" t="s">
        <v>1</v>
      </c>
      <c r="I193" s="151"/>
      <c r="L193" s="148"/>
      <c r="M193" s="152"/>
      <c r="T193" s="153"/>
      <c r="AT193" s="149" t="s">
        <v>138</v>
      </c>
      <c r="AU193" s="149" t="s">
        <v>90</v>
      </c>
      <c r="AV193" s="12" t="s">
        <v>88</v>
      </c>
      <c r="AW193" s="12" t="s">
        <v>35</v>
      </c>
      <c r="AX193" s="12" t="s">
        <v>80</v>
      </c>
      <c r="AY193" s="149" t="s">
        <v>126</v>
      </c>
    </row>
    <row r="194" spans="2:65" s="12" customFormat="1" ht="11.25">
      <c r="B194" s="148"/>
      <c r="D194" s="143" t="s">
        <v>138</v>
      </c>
      <c r="E194" s="149" t="s">
        <v>1</v>
      </c>
      <c r="F194" s="150" t="s">
        <v>206</v>
      </c>
      <c r="H194" s="149" t="s">
        <v>1</v>
      </c>
      <c r="I194" s="151"/>
      <c r="L194" s="148"/>
      <c r="M194" s="152"/>
      <c r="T194" s="153"/>
      <c r="AT194" s="149" t="s">
        <v>138</v>
      </c>
      <c r="AU194" s="149" t="s">
        <v>90</v>
      </c>
      <c r="AV194" s="12" t="s">
        <v>88</v>
      </c>
      <c r="AW194" s="12" t="s">
        <v>35</v>
      </c>
      <c r="AX194" s="12" t="s">
        <v>80</v>
      </c>
      <c r="AY194" s="149" t="s">
        <v>126</v>
      </c>
    </row>
    <row r="195" spans="2:65" s="12" customFormat="1" ht="11.25">
      <c r="B195" s="148"/>
      <c r="D195" s="143" t="s">
        <v>138</v>
      </c>
      <c r="E195" s="149" t="s">
        <v>1</v>
      </c>
      <c r="F195" s="150" t="s">
        <v>142</v>
      </c>
      <c r="H195" s="149" t="s">
        <v>1</v>
      </c>
      <c r="I195" s="151"/>
      <c r="L195" s="148"/>
      <c r="M195" s="152"/>
      <c r="T195" s="153"/>
      <c r="AT195" s="149" t="s">
        <v>138</v>
      </c>
      <c r="AU195" s="149" t="s">
        <v>90</v>
      </c>
      <c r="AV195" s="12" t="s">
        <v>88</v>
      </c>
      <c r="AW195" s="12" t="s">
        <v>35</v>
      </c>
      <c r="AX195" s="12" t="s">
        <v>80</v>
      </c>
      <c r="AY195" s="149" t="s">
        <v>126</v>
      </c>
    </row>
    <row r="196" spans="2:65" s="13" customFormat="1" ht="11.25">
      <c r="B196" s="154"/>
      <c r="D196" s="143" t="s">
        <v>138</v>
      </c>
      <c r="E196" s="155" t="s">
        <v>1</v>
      </c>
      <c r="F196" s="156" t="s">
        <v>207</v>
      </c>
      <c r="H196" s="157">
        <v>11218</v>
      </c>
      <c r="I196" s="158"/>
      <c r="L196" s="154"/>
      <c r="M196" s="159"/>
      <c r="T196" s="160"/>
      <c r="AT196" s="155" t="s">
        <v>138</v>
      </c>
      <c r="AU196" s="155" t="s">
        <v>90</v>
      </c>
      <c r="AV196" s="13" t="s">
        <v>90</v>
      </c>
      <c r="AW196" s="13" t="s">
        <v>35</v>
      </c>
      <c r="AX196" s="13" t="s">
        <v>88</v>
      </c>
      <c r="AY196" s="155" t="s">
        <v>126</v>
      </c>
    </row>
    <row r="197" spans="2:65" s="1" customFormat="1" ht="24.2" customHeight="1">
      <c r="B197" s="30"/>
      <c r="C197" s="130" t="s">
        <v>208</v>
      </c>
      <c r="D197" s="130" t="s">
        <v>128</v>
      </c>
      <c r="E197" s="131" t="s">
        <v>209</v>
      </c>
      <c r="F197" s="132" t="s">
        <v>210</v>
      </c>
      <c r="G197" s="133" t="s">
        <v>172</v>
      </c>
      <c r="H197" s="134">
        <v>2153.6999999999998</v>
      </c>
      <c r="I197" s="135"/>
      <c r="J197" s="136">
        <f>ROUND(I197*H197,2)</f>
        <v>0</v>
      </c>
      <c r="K197" s="132" t="s">
        <v>132</v>
      </c>
      <c r="L197" s="30"/>
      <c r="M197" s="137" t="s">
        <v>1</v>
      </c>
      <c r="N197" s="138" t="s">
        <v>45</v>
      </c>
      <c r="P197" s="139">
        <f>O197*H197</f>
        <v>0</v>
      </c>
      <c r="Q197" s="139">
        <v>0</v>
      </c>
      <c r="R197" s="139">
        <f>Q197*H197</f>
        <v>0</v>
      </c>
      <c r="S197" s="139">
        <v>0</v>
      </c>
      <c r="T197" s="140">
        <f>S197*H197</f>
        <v>0</v>
      </c>
      <c r="AR197" s="141" t="s">
        <v>133</v>
      </c>
      <c r="AT197" s="141" t="s">
        <v>128</v>
      </c>
      <c r="AU197" s="141" t="s">
        <v>90</v>
      </c>
      <c r="AY197" s="15" t="s">
        <v>126</v>
      </c>
      <c r="BE197" s="142">
        <f>IF(N197="základní",J197,0)</f>
        <v>0</v>
      </c>
      <c r="BF197" s="142">
        <f>IF(N197="snížená",J197,0)</f>
        <v>0</v>
      </c>
      <c r="BG197" s="142">
        <f>IF(N197="zákl. přenesená",J197,0)</f>
        <v>0</v>
      </c>
      <c r="BH197" s="142">
        <f>IF(N197="sníž. přenesená",J197,0)</f>
        <v>0</v>
      </c>
      <c r="BI197" s="142">
        <f>IF(N197="nulová",J197,0)</f>
        <v>0</v>
      </c>
      <c r="BJ197" s="15" t="s">
        <v>88</v>
      </c>
      <c r="BK197" s="142">
        <f>ROUND(I197*H197,2)</f>
        <v>0</v>
      </c>
      <c r="BL197" s="15" t="s">
        <v>133</v>
      </c>
      <c r="BM197" s="141" t="s">
        <v>211</v>
      </c>
    </row>
    <row r="198" spans="2:65" s="1" customFormat="1" ht="19.5">
      <c r="B198" s="30"/>
      <c r="D198" s="143" t="s">
        <v>135</v>
      </c>
      <c r="F198" s="144" t="s">
        <v>210</v>
      </c>
      <c r="I198" s="145"/>
      <c r="L198" s="30"/>
      <c r="M198" s="146"/>
      <c r="T198" s="54"/>
      <c r="AT198" s="15" t="s">
        <v>135</v>
      </c>
      <c r="AU198" s="15" t="s">
        <v>90</v>
      </c>
    </row>
    <row r="199" spans="2:65" s="1" customFormat="1" ht="58.5">
      <c r="B199" s="30"/>
      <c r="D199" s="143" t="s">
        <v>136</v>
      </c>
      <c r="F199" s="147" t="s">
        <v>212</v>
      </c>
      <c r="I199" s="145"/>
      <c r="L199" s="30"/>
      <c r="M199" s="146"/>
      <c r="T199" s="54"/>
      <c r="AT199" s="15" t="s">
        <v>136</v>
      </c>
      <c r="AU199" s="15" t="s">
        <v>90</v>
      </c>
    </row>
    <row r="200" spans="2:65" s="12" customFormat="1" ht="33.75">
      <c r="B200" s="148"/>
      <c r="D200" s="143" t="s">
        <v>138</v>
      </c>
      <c r="E200" s="149" t="s">
        <v>1</v>
      </c>
      <c r="F200" s="150" t="s">
        <v>213</v>
      </c>
      <c r="H200" s="149" t="s">
        <v>1</v>
      </c>
      <c r="I200" s="151"/>
      <c r="L200" s="148"/>
      <c r="M200" s="152"/>
      <c r="T200" s="153"/>
      <c r="AT200" s="149" t="s">
        <v>138</v>
      </c>
      <c r="AU200" s="149" t="s">
        <v>90</v>
      </c>
      <c r="AV200" s="12" t="s">
        <v>88</v>
      </c>
      <c r="AW200" s="12" t="s">
        <v>35</v>
      </c>
      <c r="AX200" s="12" t="s">
        <v>80</v>
      </c>
      <c r="AY200" s="149" t="s">
        <v>126</v>
      </c>
    </row>
    <row r="201" spans="2:65" s="12" customFormat="1" ht="11.25">
      <c r="B201" s="148"/>
      <c r="D201" s="143" t="s">
        <v>138</v>
      </c>
      <c r="E201" s="149" t="s">
        <v>1</v>
      </c>
      <c r="F201" s="150" t="s">
        <v>177</v>
      </c>
      <c r="H201" s="149" t="s">
        <v>1</v>
      </c>
      <c r="I201" s="151"/>
      <c r="L201" s="148"/>
      <c r="M201" s="152"/>
      <c r="T201" s="153"/>
      <c r="AT201" s="149" t="s">
        <v>138</v>
      </c>
      <c r="AU201" s="149" t="s">
        <v>90</v>
      </c>
      <c r="AV201" s="12" t="s">
        <v>88</v>
      </c>
      <c r="AW201" s="12" t="s">
        <v>35</v>
      </c>
      <c r="AX201" s="12" t="s">
        <v>80</v>
      </c>
      <c r="AY201" s="149" t="s">
        <v>126</v>
      </c>
    </row>
    <row r="202" spans="2:65" s="12" customFormat="1" ht="11.25">
      <c r="B202" s="148"/>
      <c r="D202" s="143" t="s">
        <v>138</v>
      </c>
      <c r="E202" s="149" t="s">
        <v>1</v>
      </c>
      <c r="F202" s="150" t="s">
        <v>178</v>
      </c>
      <c r="H202" s="149" t="s">
        <v>1</v>
      </c>
      <c r="I202" s="151"/>
      <c r="L202" s="148"/>
      <c r="M202" s="152"/>
      <c r="T202" s="153"/>
      <c r="AT202" s="149" t="s">
        <v>138</v>
      </c>
      <c r="AU202" s="149" t="s">
        <v>90</v>
      </c>
      <c r="AV202" s="12" t="s">
        <v>88</v>
      </c>
      <c r="AW202" s="12" t="s">
        <v>35</v>
      </c>
      <c r="AX202" s="12" t="s">
        <v>80</v>
      </c>
      <c r="AY202" s="149" t="s">
        <v>126</v>
      </c>
    </row>
    <row r="203" spans="2:65" s="12" customFormat="1" ht="11.25">
      <c r="B203" s="148"/>
      <c r="D203" s="143" t="s">
        <v>138</v>
      </c>
      <c r="E203" s="149" t="s">
        <v>1</v>
      </c>
      <c r="F203" s="150" t="s">
        <v>181</v>
      </c>
      <c r="H203" s="149" t="s">
        <v>1</v>
      </c>
      <c r="I203" s="151"/>
      <c r="L203" s="148"/>
      <c r="M203" s="152"/>
      <c r="T203" s="153"/>
      <c r="AT203" s="149" t="s">
        <v>138</v>
      </c>
      <c r="AU203" s="149" t="s">
        <v>90</v>
      </c>
      <c r="AV203" s="12" t="s">
        <v>88</v>
      </c>
      <c r="AW203" s="12" t="s">
        <v>35</v>
      </c>
      <c r="AX203" s="12" t="s">
        <v>80</v>
      </c>
      <c r="AY203" s="149" t="s">
        <v>126</v>
      </c>
    </row>
    <row r="204" spans="2:65" s="12" customFormat="1" ht="11.25">
      <c r="B204" s="148"/>
      <c r="D204" s="143" t="s">
        <v>138</v>
      </c>
      <c r="E204" s="149" t="s">
        <v>1</v>
      </c>
      <c r="F204" s="150" t="s">
        <v>182</v>
      </c>
      <c r="H204" s="149" t="s">
        <v>1</v>
      </c>
      <c r="I204" s="151"/>
      <c r="L204" s="148"/>
      <c r="M204" s="152"/>
      <c r="T204" s="153"/>
      <c r="AT204" s="149" t="s">
        <v>138</v>
      </c>
      <c r="AU204" s="149" t="s">
        <v>90</v>
      </c>
      <c r="AV204" s="12" t="s">
        <v>88</v>
      </c>
      <c r="AW204" s="12" t="s">
        <v>35</v>
      </c>
      <c r="AX204" s="12" t="s">
        <v>80</v>
      </c>
      <c r="AY204" s="149" t="s">
        <v>126</v>
      </c>
    </row>
    <row r="205" spans="2:65" s="12" customFormat="1" ht="11.25">
      <c r="B205" s="148"/>
      <c r="D205" s="143" t="s">
        <v>138</v>
      </c>
      <c r="E205" s="149" t="s">
        <v>1</v>
      </c>
      <c r="F205" s="150" t="s">
        <v>178</v>
      </c>
      <c r="H205" s="149" t="s">
        <v>1</v>
      </c>
      <c r="I205" s="151"/>
      <c r="L205" s="148"/>
      <c r="M205" s="152"/>
      <c r="T205" s="153"/>
      <c r="AT205" s="149" t="s">
        <v>138</v>
      </c>
      <c r="AU205" s="149" t="s">
        <v>90</v>
      </c>
      <c r="AV205" s="12" t="s">
        <v>88</v>
      </c>
      <c r="AW205" s="12" t="s">
        <v>35</v>
      </c>
      <c r="AX205" s="12" t="s">
        <v>80</v>
      </c>
      <c r="AY205" s="149" t="s">
        <v>126</v>
      </c>
    </row>
    <row r="206" spans="2:65" s="13" customFormat="1" ht="11.25">
      <c r="B206" s="154"/>
      <c r="D206" s="143" t="s">
        <v>138</v>
      </c>
      <c r="E206" s="155" t="s">
        <v>1</v>
      </c>
      <c r="F206" s="156" t="s">
        <v>214</v>
      </c>
      <c r="H206" s="157">
        <v>2153.6999999999998</v>
      </c>
      <c r="I206" s="158"/>
      <c r="L206" s="154"/>
      <c r="M206" s="159"/>
      <c r="T206" s="160"/>
      <c r="AT206" s="155" t="s">
        <v>138</v>
      </c>
      <c r="AU206" s="155" t="s">
        <v>90</v>
      </c>
      <c r="AV206" s="13" t="s">
        <v>90</v>
      </c>
      <c r="AW206" s="13" t="s">
        <v>35</v>
      </c>
      <c r="AX206" s="13" t="s">
        <v>88</v>
      </c>
      <c r="AY206" s="155" t="s">
        <v>126</v>
      </c>
    </row>
    <row r="207" spans="2:65" s="1" customFormat="1" ht="16.5" customHeight="1">
      <c r="B207" s="30"/>
      <c r="C207" s="130" t="s">
        <v>215</v>
      </c>
      <c r="D207" s="130" t="s">
        <v>128</v>
      </c>
      <c r="E207" s="131" t="s">
        <v>216</v>
      </c>
      <c r="F207" s="132" t="s">
        <v>217</v>
      </c>
      <c r="G207" s="133" t="s">
        <v>172</v>
      </c>
      <c r="H207" s="134">
        <v>11543.5</v>
      </c>
      <c r="I207" s="135"/>
      <c r="J207" s="136">
        <f>ROUND(I207*H207,2)</f>
        <v>0</v>
      </c>
      <c r="K207" s="132" t="s">
        <v>132</v>
      </c>
      <c r="L207" s="30"/>
      <c r="M207" s="137" t="s">
        <v>1</v>
      </c>
      <c r="N207" s="138" t="s">
        <v>45</v>
      </c>
      <c r="P207" s="139">
        <f>O207*H207</f>
        <v>0</v>
      </c>
      <c r="Q207" s="139">
        <v>0</v>
      </c>
      <c r="R207" s="139">
        <f>Q207*H207</f>
        <v>0</v>
      </c>
      <c r="S207" s="139">
        <v>0</v>
      </c>
      <c r="T207" s="140">
        <f>S207*H207</f>
        <v>0</v>
      </c>
      <c r="AR207" s="141" t="s">
        <v>133</v>
      </c>
      <c r="AT207" s="141" t="s">
        <v>128</v>
      </c>
      <c r="AU207" s="141" t="s">
        <v>90</v>
      </c>
      <c r="AY207" s="15" t="s">
        <v>126</v>
      </c>
      <c r="BE207" s="142">
        <f>IF(N207="základní",J207,0)</f>
        <v>0</v>
      </c>
      <c r="BF207" s="142">
        <f>IF(N207="snížená",J207,0)</f>
        <v>0</v>
      </c>
      <c r="BG207" s="142">
        <f>IF(N207="zákl. přenesená",J207,0)</f>
        <v>0</v>
      </c>
      <c r="BH207" s="142">
        <f>IF(N207="sníž. přenesená",J207,0)</f>
        <v>0</v>
      </c>
      <c r="BI207" s="142">
        <f>IF(N207="nulová",J207,0)</f>
        <v>0</v>
      </c>
      <c r="BJ207" s="15" t="s">
        <v>88</v>
      </c>
      <c r="BK207" s="142">
        <f>ROUND(I207*H207,2)</f>
        <v>0</v>
      </c>
      <c r="BL207" s="15" t="s">
        <v>133</v>
      </c>
      <c r="BM207" s="141" t="s">
        <v>218</v>
      </c>
    </row>
    <row r="208" spans="2:65" s="1" customFormat="1" ht="11.25">
      <c r="B208" s="30"/>
      <c r="D208" s="143" t="s">
        <v>135</v>
      </c>
      <c r="F208" s="144" t="s">
        <v>217</v>
      </c>
      <c r="I208" s="145"/>
      <c r="L208" s="30"/>
      <c r="M208" s="146"/>
      <c r="T208" s="54"/>
      <c r="AT208" s="15" t="s">
        <v>135</v>
      </c>
      <c r="AU208" s="15" t="s">
        <v>90</v>
      </c>
    </row>
    <row r="209" spans="2:51" s="1" customFormat="1" ht="58.5">
      <c r="B209" s="30"/>
      <c r="D209" s="143" t="s">
        <v>136</v>
      </c>
      <c r="F209" s="147" t="s">
        <v>219</v>
      </c>
      <c r="I209" s="145"/>
      <c r="L209" s="30"/>
      <c r="M209" s="146"/>
      <c r="T209" s="54"/>
      <c r="AT209" s="15" t="s">
        <v>136</v>
      </c>
      <c r="AU209" s="15" t="s">
        <v>90</v>
      </c>
    </row>
    <row r="210" spans="2:51" s="12" customFormat="1" ht="11.25">
      <c r="B210" s="148"/>
      <c r="D210" s="143" t="s">
        <v>138</v>
      </c>
      <c r="E210" s="149" t="s">
        <v>1</v>
      </c>
      <c r="F210" s="150" t="s">
        <v>220</v>
      </c>
      <c r="H210" s="149" t="s">
        <v>1</v>
      </c>
      <c r="I210" s="151"/>
      <c r="L210" s="148"/>
      <c r="M210" s="152"/>
      <c r="T210" s="153"/>
      <c r="AT210" s="149" t="s">
        <v>138</v>
      </c>
      <c r="AU210" s="149" t="s">
        <v>90</v>
      </c>
      <c r="AV210" s="12" t="s">
        <v>88</v>
      </c>
      <c r="AW210" s="12" t="s">
        <v>35</v>
      </c>
      <c r="AX210" s="12" t="s">
        <v>80</v>
      </c>
      <c r="AY210" s="149" t="s">
        <v>126</v>
      </c>
    </row>
    <row r="211" spans="2:51" s="12" customFormat="1" ht="11.25">
      <c r="B211" s="148"/>
      <c r="D211" s="143" t="s">
        <v>138</v>
      </c>
      <c r="E211" s="149" t="s">
        <v>1</v>
      </c>
      <c r="F211" s="150" t="s">
        <v>221</v>
      </c>
      <c r="H211" s="149" t="s">
        <v>1</v>
      </c>
      <c r="I211" s="151"/>
      <c r="L211" s="148"/>
      <c r="M211" s="152"/>
      <c r="T211" s="153"/>
      <c r="AT211" s="149" t="s">
        <v>138</v>
      </c>
      <c r="AU211" s="149" t="s">
        <v>90</v>
      </c>
      <c r="AV211" s="12" t="s">
        <v>88</v>
      </c>
      <c r="AW211" s="12" t="s">
        <v>35</v>
      </c>
      <c r="AX211" s="12" t="s">
        <v>80</v>
      </c>
      <c r="AY211" s="149" t="s">
        <v>126</v>
      </c>
    </row>
    <row r="212" spans="2:51" s="12" customFormat="1" ht="11.25">
      <c r="B212" s="148"/>
      <c r="D212" s="143" t="s">
        <v>138</v>
      </c>
      <c r="E212" s="149" t="s">
        <v>1</v>
      </c>
      <c r="F212" s="150" t="s">
        <v>140</v>
      </c>
      <c r="H212" s="149" t="s">
        <v>1</v>
      </c>
      <c r="I212" s="151"/>
      <c r="L212" s="148"/>
      <c r="M212" s="152"/>
      <c r="T212" s="153"/>
      <c r="AT212" s="149" t="s">
        <v>138</v>
      </c>
      <c r="AU212" s="149" t="s">
        <v>90</v>
      </c>
      <c r="AV212" s="12" t="s">
        <v>88</v>
      </c>
      <c r="AW212" s="12" t="s">
        <v>35</v>
      </c>
      <c r="AX212" s="12" t="s">
        <v>80</v>
      </c>
      <c r="AY212" s="149" t="s">
        <v>126</v>
      </c>
    </row>
    <row r="213" spans="2:51" s="12" customFormat="1" ht="11.25">
      <c r="B213" s="148"/>
      <c r="D213" s="143" t="s">
        <v>138</v>
      </c>
      <c r="E213" s="149" t="s">
        <v>1</v>
      </c>
      <c r="F213" s="150" t="s">
        <v>141</v>
      </c>
      <c r="H213" s="149" t="s">
        <v>1</v>
      </c>
      <c r="I213" s="151"/>
      <c r="L213" s="148"/>
      <c r="M213" s="152"/>
      <c r="T213" s="153"/>
      <c r="AT213" s="149" t="s">
        <v>138</v>
      </c>
      <c r="AU213" s="149" t="s">
        <v>90</v>
      </c>
      <c r="AV213" s="12" t="s">
        <v>88</v>
      </c>
      <c r="AW213" s="12" t="s">
        <v>35</v>
      </c>
      <c r="AX213" s="12" t="s">
        <v>80</v>
      </c>
      <c r="AY213" s="149" t="s">
        <v>126</v>
      </c>
    </row>
    <row r="214" spans="2:51" s="12" customFormat="1" ht="11.25">
      <c r="B214" s="148"/>
      <c r="D214" s="143" t="s">
        <v>138</v>
      </c>
      <c r="E214" s="149" t="s">
        <v>1</v>
      </c>
      <c r="F214" s="150" t="s">
        <v>222</v>
      </c>
      <c r="H214" s="149" t="s">
        <v>1</v>
      </c>
      <c r="I214" s="151"/>
      <c r="L214" s="148"/>
      <c r="M214" s="152"/>
      <c r="T214" s="153"/>
      <c r="AT214" s="149" t="s">
        <v>138</v>
      </c>
      <c r="AU214" s="149" t="s">
        <v>90</v>
      </c>
      <c r="AV214" s="12" t="s">
        <v>88</v>
      </c>
      <c r="AW214" s="12" t="s">
        <v>35</v>
      </c>
      <c r="AX214" s="12" t="s">
        <v>80</v>
      </c>
      <c r="AY214" s="149" t="s">
        <v>126</v>
      </c>
    </row>
    <row r="215" spans="2:51" s="12" customFormat="1" ht="11.25">
      <c r="B215" s="148"/>
      <c r="D215" s="143" t="s">
        <v>138</v>
      </c>
      <c r="E215" s="149" t="s">
        <v>1</v>
      </c>
      <c r="F215" s="150" t="s">
        <v>144</v>
      </c>
      <c r="H215" s="149" t="s">
        <v>1</v>
      </c>
      <c r="I215" s="151"/>
      <c r="L215" s="148"/>
      <c r="M215" s="152"/>
      <c r="T215" s="153"/>
      <c r="AT215" s="149" t="s">
        <v>138</v>
      </c>
      <c r="AU215" s="149" t="s">
        <v>90</v>
      </c>
      <c r="AV215" s="12" t="s">
        <v>88</v>
      </c>
      <c r="AW215" s="12" t="s">
        <v>35</v>
      </c>
      <c r="AX215" s="12" t="s">
        <v>80</v>
      </c>
      <c r="AY215" s="149" t="s">
        <v>126</v>
      </c>
    </row>
    <row r="216" spans="2:51" s="12" customFormat="1" ht="11.25">
      <c r="B216" s="148"/>
      <c r="D216" s="143" t="s">
        <v>138</v>
      </c>
      <c r="E216" s="149" t="s">
        <v>1</v>
      </c>
      <c r="F216" s="150" t="s">
        <v>145</v>
      </c>
      <c r="H216" s="149" t="s">
        <v>1</v>
      </c>
      <c r="I216" s="151"/>
      <c r="L216" s="148"/>
      <c r="M216" s="152"/>
      <c r="T216" s="153"/>
      <c r="AT216" s="149" t="s">
        <v>138</v>
      </c>
      <c r="AU216" s="149" t="s">
        <v>90</v>
      </c>
      <c r="AV216" s="12" t="s">
        <v>88</v>
      </c>
      <c r="AW216" s="12" t="s">
        <v>35</v>
      </c>
      <c r="AX216" s="12" t="s">
        <v>80</v>
      </c>
      <c r="AY216" s="149" t="s">
        <v>126</v>
      </c>
    </row>
    <row r="217" spans="2:51" s="12" customFormat="1" ht="11.25">
      <c r="B217" s="148"/>
      <c r="D217" s="143" t="s">
        <v>138</v>
      </c>
      <c r="E217" s="149" t="s">
        <v>1</v>
      </c>
      <c r="F217" s="150" t="s">
        <v>146</v>
      </c>
      <c r="H217" s="149" t="s">
        <v>1</v>
      </c>
      <c r="I217" s="151"/>
      <c r="L217" s="148"/>
      <c r="M217" s="152"/>
      <c r="T217" s="153"/>
      <c r="AT217" s="149" t="s">
        <v>138</v>
      </c>
      <c r="AU217" s="149" t="s">
        <v>90</v>
      </c>
      <c r="AV217" s="12" t="s">
        <v>88</v>
      </c>
      <c r="AW217" s="12" t="s">
        <v>35</v>
      </c>
      <c r="AX217" s="12" t="s">
        <v>80</v>
      </c>
      <c r="AY217" s="149" t="s">
        <v>126</v>
      </c>
    </row>
    <row r="218" spans="2:51" s="12" customFormat="1" ht="11.25">
      <c r="B218" s="148"/>
      <c r="D218" s="143" t="s">
        <v>138</v>
      </c>
      <c r="E218" s="149" t="s">
        <v>1</v>
      </c>
      <c r="F218" s="150" t="s">
        <v>145</v>
      </c>
      <c r="H218" s="149" t="s">
        <v>1</v>
      </c>
      <c r="I218" s="151"/>
      <c r="L218" s="148"/>
      <c r="M218" s="152"/>
      <c r="T218" s="153"/>
      <c r="AT218" s="149" t="s">
        <v>138</v>
      </c>
      <c r="AU218" s="149" t="s">
        <v>90</v>
      </c>
      <c r="AV218" s="12" t="s">
        <v>88</v>
      </c>
      <c r="AW218" s="12" t="s">
        <v>35</v>
      </c>
      <c r="AX218" s="12" t="s">
        <v>80</v>
      </c>
      <c r="AY218" s="149" t="s">
        <v>126</v>
      </c>
    </row>
    <row r="219" spans="2:51" s="12" customFormat="1" ht="11.25">
      <c r="B219" s="148"/>
      <c r="D219" s="143" t="s">
        <v>138</v>
      </c>
      <c r="E219" s="149" t="s">
        <v>1</v>
      </c>
      <c r="F219" s="150" t="s">
        <v>147</v>
      </c>
      <c r="H219" s="149" t="s">
        <v>1</v>
      </c>
      <c r="I219" s="151"/>
      <c r="L219" s="148"/>
      <c r="M219" s="152"/>
      <c r="T219" s="153"/>
      <c r="AT219" s="149" t="s">
        <v>138</v>
      </c>
      <c r="AU219" s="149" t="s">
        <v>90</v>
      </c>
      <c r="AV219" s="12" t="s">
        <v>88</v>
      </c>
      <c r="AW219" s="12" t="s">
        <v>35</v>
      </c>
      <c r="AX219" s="12" t="s">
        <v>80</v>
      </c>
      <c r="AY219" s="149" t="s">
        <v>126</v>
      </c>
    </row>
    <row r="220" spans="2:51" s="12" customFormat="1" ht="11.25">
      <c r="B220" s="148"/>
      <c r="D220" s="143" t="s">
        <v>138</v>
      </c>
      <c r="E220" s="149" t="s">
        <v>1</v>
      </c>
      <c r="F220" s="150" t="s">
        <v>145</v>
      </c>
      <c r="H220" s="149" t="s">
        <v>1</v>
      </c>
      <c r="I220" s="151"/>
      <c r="L220" s="148"/>
      <c r="M220" s="152"/>
      <c r="T220" s="153"/>
      <c r="AT220" s="149" t="s">
        <v>138</v>
      </c>
      <c r="AU220" s="149" t="s">
        <v>90</v>
      </c>
      <c r="AV220" s="12" t="s">
        <v>88</v>
      </c>
      <c r="AW220" s="12" t="s">
        <v>35</v>
      </c>
      <c r="AX220" s="12" t="s">
        <v>80</v>
      </c>
      <c r="AY220" s="149" t="s">
        <v>126</v>
      </c>
    </row>
    <row r="221" spans="2:51" s="12" customFormat="1" ht="11.25">
      <c r="B221" s="148"/>
      <c r="D221" s="143" t="s">
        <v>138</v>
      </c>
      <c r="E221" s="149" t="s">
        <v>1</v>
      </c>
      <c r="F221" s="150" t="s">
        <v>148</v>
      </c>
      <c r="H221" s="149" t="s">
        <v>1</v>
      </c>
      <c r="I221" s="151"/>
      <c r="L221" s="148"/>
      <c r="M221" s="152"/>
      <c r="T221" s="153"/>
      <c r="AT221" s="149" t="s">
        <v>138</v>
      </c>
      <c r="AU221" s="149" t="s">
        <v>90</v>
      </c>
      <c r="AV221" s="12" t="s">
        <v>88</v>
      </c>
      <c r="AW221" s="12" t="s">
        <v>35</v>
      </c>
      <c r="AX221" s="12" t="s">
        <v>80</v>
      </c>
      <c r="AY221" s="149" t="s">
        <v>126</v>
      </c>
    </row>
    <row r="222" spans="2:51" s="12" customFormat="1" ht="11.25">
      <c r="B222" s="148"/>
      <c r="D222" s="143" t="s">
        <v>138</v>
      </c>
      <c r="E222" s="149" t="s">
        <v>1</v>
      </c>
      <c r="F222" s="150" t="s">
        <v>145</v>
      </c>
      <c r="H222" s="149" t="s">
        <v>1</v>
      </c>
      <c r="I222" s="151"/>
      <c r="L222" s="148"/>
      <c r="M222" s="152"/>
      <c r="T222" s="153"/>
      <c r="AT222" s="149" t="s">
        <v>138</v>
      </c>
      <c r="AU222" s="149" t="s">
        <v>90</v>
      </c>
      <c r="AV222" s="12" t="s">
        <v>88</v>
      </c>
      <c r="AW222" s="12" t="s">
        <v>35</v>
      </c>
      <c r="AX222" s="12" t="s">
        <v>80</v>
      </c>
      <c r="AY222" s="149" t="s">
        <v>126</v>
      </c>
    </row>
    <row r="223" spans="2:51" s="12" customFormat="1" ht="11.25">
      <c r="B223" s="148"/>
      <c r="D223" s="143" t="s">
        <v>138</v>
      </c>
      <c r="E223" s="149" t="s">
        <v>1</v>
      </c>
      <c r="F223" s="150" t="s">
        <v>149</v>
      </c>
      <c r="H223" s="149" t="s">
        <v>1</v>
      </c>
      <c r="I223" s="151"/>
      <c r="L223" s="148"/>
      <c r="M223" s="152"/>
      <c r="T223" s="153"/>
      <c r="AT223" s="149" t="s">
        <v>138</v>
      </c>
      <c r="AU223" s="149" t="s">
        <v>90</v>
      </c>
      <c r="AV223" s="12" t="s">
        <v>88</v>
      </c>
      <c r="AW223" s="12" t="s">
        <v>35</v>
      </c>
      <c r="AX223" s="12" t="s">
        <v>80</v>
      </c>
      <c r="AY223" s="149" t="s">
        <v>126</v>
      </c>
    </row>
    <row r="224" spans="2:51" s="12" customFormat="1" ht="11.25">
      <c r="B224" s="148"/>
      <c r="D224" s="143" t="s">
        <v>138</v>
      </c>
      <c r="E224" s="149" t="s">
        <v>1</v>
      </c>
      <c r="F224" s="150" t="s">
        <v>150</v>
      </c>
      <c r="H224" s="149" t="s">
        <v>1</v>
      </c>
      <c r="I224" s="151"/>
      <c r="L224" s="148"/>
      <c r="M224" s="152"/>
      <c r="T224" s="153"/>
      <c r="AT224" s="149" t="s">
        <v>138</v>
      </c>
      <c r="AU224" s="149" t="s">
        <v>90</v>
      </c>
      <c r="AV224" s="12" t="s">
        <v>88</v>
      </c>
      <c r="AW224" s="12" t="s">
        <v>35</v>
      </c>
      <c r="AX224" s="12" t="s">
        <v>80</v>
      </c>
      <c r="AY224" s="149" t="s">
        <v>126</v>
      </c>
    </row>
    <row r="225" spans="2:65" s="13" customFormat="1" ht="11.25">
      <c r="B225" s="154"/>
      <c r="D225" s="143" t="s">
        <v>138</v>
      </c>
      <c r="E225" s="155" t="s">
        <v>1</v>
      </c>
      <c r="F225" s="156" t="s">
        <v>223</v>
      </c>
      <c r="H225" s="157">
        <v>11543.5</v>
      </c>
      <c r="I225" s="158"/>
      <c r="L225" s="154"/>
      <c r="M225" s="159"/>
      <c r="T225" s="160"/>
      <c r="AT225" s="155" t="s">
        <v>138</v>
      </c>
      <c r="AU225" s="155" t="s">
        <v>90</v>
      </c>
      <c r="AV225" s="13" t="s">
        <v>90</v>
      </c>
      <c r="AW225" s="13" t="s">
        <v>35</v>
      </c>
      <c r="AX225" s="13" t="s">
        <v>88</v>
      </c>
      <c r="AY225" s="155" t="s">
        <v>126</v>
      </c>
    </row>
    <row r="226" spans="2:65" s="1" customFormat="1" ht="16.5" customHeight="1">
      <c r="B226" s="30"/>
      <c r="C226" s="130" t="s">
        <v>224</v>
      </c>
      <c r="D226" s="130" t="s">
        <v>128</v>
      </c>
      <c r="E226" s="131" t="s">
        <v>216</v>
      </c>
      <c r="F226" s="132" t="s">
        <v>217</v>
      </c>
      <c r="G226" s="133" t="s">
        <v>172</v>
      </c>
      <c r="H226" s="134">
        <v>11538.52</v>
      </c>
      <c r="I226" s="135"/>
      <c r="J226" s="136">
        <f>ROUND(I226*H226,2)</f>
        <v>0</v>
      </c>
      <c r="K226" s="132" t="s">
        <v>132</v>
      </c>
      <c r="L226" s="30"/>
      <c r="M226" s="137" t="s">
        <v>1</v>
      </c>
      <c r="N226" s="138" t="s">
        <v>45</v>
      </c>
      <c r="P226" s="139">
        <f>O226*H226</f>
        <v>0</v>
      </c>
      <c r="Q226" s="139">
        <v>0</v>
      </c>
      <c r="R226" s="139">
        <f>Q226*H226</f>
        <v>0</v>
      </c>
      <c r="S226" s="139">
        <v>0</v>
      </c>
      <c r="T226" s="140">
        <f>S226*H226</f>
        <v>0</v>
      </c>
      <c r="AR226" s="141" t="s">
        <v>133</v>
      </c>
      <c r="AT226" s="141" t="s">
        <v>128</v>
      </c>
      <c r="AU226" s="141" t="s">
        <v>90</v>
      </c>
      <c r="AY226" s="15" t="s">
        <v>126</v>
      </c>
      <c r="BE226" s="142">
        <f>IF(N226="základní",J226,0)</f>
        <v>0</v>
      </c>
      <c r="BF226" s="142">
        <f>IF(N226="snížená",J226,0)</f>
        <v>0</v>
      </c>
      <c r="BG226" s="142">
        <f>IF(N226="zákl. přenesená",J226,0)</f>
        <v>0</v>
      </c>
      <c r="BH226" s="142">
        <f>IF(N226="sníž. přenesená",J226,0)</f>
        <v>0</v>
      </c>
      <c r="BI226" s="142">
        <f>IF(N226="nulová",J226,0)</f>
        <v>0</v>
      </c>
      <c r="BJ226" s="15" t="s">
        <v>88</v>
      </c>
      <c r="BK226" s="142">
        <f>ROUND(I226*H226,2)</f>
        <v>0</v>
      </c>
      <c r="BL226" s="15" t="s">
        <v>133</v>
      </c>
      <c r="BM226" s="141" t="s">
        <v>225</v>
      </c>
    </row>
    <row r="227" spans="2:65" s="1" customFormat="1" ht="11.25">
      <c r="B227" s="30"/>
      <c r="D227" s="143" t="s">
        <v>135</v>
      </c>
      <c r="F227" s="144" t="s">
        <v>217</v>
      </c>
      <c r="I227" s="145"/>
      <c r="L227" s="30"/>
      <c r="M227" s="146"/>
      <c r="T227" s="54"/>
      <c r="AT227" s="15" t="s">
        <v>135</v>
      </c>
      <c r="AU227" s="15" t="s">
        <v>90</v>
      </c>
    </row>
    <row r="228" spans="2:65" s="1" customFormat="1" ht="58.5">
      <c r="B228" s="30"/>
      <c r="D228" s="143" t="s">
        <v>136</v>
      </c>
      <c r="F228" s="147" t="s">
        <v>219</v>
      </c>
      <c r="I228" s="145"/>
      <c r="L228" s="30"/>
      <c r="M228" s="146"/>
      <c r="T228" s="54"/>
      <c r="AT228" s="15" t="s">
        <v>136</v>
      </c>
      <c r="AU228" s="15" t="s">
        <v>90</v>
      </c>
    </row>
    <row r="229" spans="2:65" s="12" customFormat="1" ht="11.25">
      <c r="B229" s="148"/>
      <c r="D229" s="143" t="s">
        <v>138</v>
      </c>
      <c r="E229" s="149" t="s">
        <v>1</v>
      </c>
      <c r="F229" s="150" t="s">
        <v>220</v>
      </c>
      <c r="H229" s="149" t="s">
        <v>1</v>
      </c>
      <c r="I229" s="151"/>
      <c r="L229" s="148"/>
      <c r="M229" s="152"/>
      <c r="T229" s="153"/>
      <c r="AT229" s="149" t="s">
        <v>138</v>
      </c>
      <c r="AU229" s="149" t="s">
        <v>90</v>
      </c>
      <c r="AV229" s="12" t="s">
        <v>88</v>
      </c>
      <c r="AW229" s="12" t="s">
        <v>35</v>
      </c>
      <c r="AX229" s="12" t="s">
        <v>80</v>
      </c>
      <c r="AY229" s="149" t="s">
        <v>126</v>
      </c>
    </row>
    <row r="230" spans="2:65" s="12" customFormat="1" ht="11.25">
      <c r="B230" s="148"/>
      <c r="D230" s="143" t="s">
        <v>138</v>
      </c>
      <c r="E230" s="149" t="s">
        <v>1</v>
      </c>
      <c r="F230" s="150" t="s">
        <v>221</v>
      </c>
      <c r="H230" s="149" t="s">
        <v>1</v>
      </c>
      <c r="I230" s="151"/>
      <c r="L230" s="148"/>
      <c r="M230" s="152"/>
      <c r="T230" s="153"/>
      <c r="AT230" s="149" t="s">
        <v>138</v>
      </c>
      <c r="AU230" s="149" t="s">
        <v>90</v>
      </c>
      <c r="AV230" s="12" t="s">
        <v>88</v>
      </c>
      <c r="AW230" s="12" t="s">
        <v>35</v>
      </c>
      <c r="AX230" s="12" t="s">
        <v>80</v>
      </c>
      <c r="AY230" s="149" t="s">
        <v>126</v>
      </c>
    </row>
    <row r="231" spans="2:65" s="12" customFormat="1" ht="11.25">
      <c r="B231" s="148"/>
      <c r="D231" s="143" t="s">
        <v>138</v>
      </c>
      <c r="E231" s="149" t="s">
        <v>1</v>
      </c>
      <c r="F231" s="150" t="s">
        <v>155</v>
      </c>
      <c r="H231" s="149" t="s">
        <v>1</v>
      </c>
      <c r="I231" s="151"/>
      <c r="L231" s="148"/>
      <c r="M231" s="152"/>
      <c r="T231" s="153"/>
      <c r="AT231" s="149" t="s">
        <v>138</v>
      </c>
      <c r="AU231" s="149" t="s">
        <v>90</v>
      </c>
      <c r="AV231" s="12" t="s">
        <v>88</v>
      </c>
      <c r="AW231" s="12" t="s">
        <v>35</v>
      </c>
      <c r="AX231" s="12" t="s">
        <v>80</v>
      </c>
      <c r="AY231" s="149" t="s">
        <v>126</v>
      </c>
    </row>
    <row r="232" spans="2:65" s="12" customFormat="1" ht="11.25">
      <c r="B232" s="148"/>
      <c r="D232" s="143" t="s">
        <v>138</v>
      </c>
      <c r="E232" s="149" t="s">
        <v>1</v>
      </c>
      <c r="F232" s="150" t="s">
        <v>226</v>
      </c>
      <c r="H232" s="149" t="s">
        <v>1</v>
      </c>
      <c r="I232" s="151"/>
      <c r="L232" s="148"/>
      <c r="M232" s="152"/>
      <c r="T232" s="153"/>
      <c r="AT232" s="149" t="s">
        <v>138</v>
      </c>
      <c r="AU232" s="149" t="s">
        <v>90</v>
      </c>
      <c r="AV232" s="12" t="s">
        <v>88</v>
      </c>
      <c r="AW232" s="12" t="s">
        <v>35</v>
      </c>
      <c r="AX232" s="12" t="s">
        <v>80</v>
      </c>
      <c r="AY232" s="149" t="s">
        <v>126</v>
      </c>
    </row>
    <row r="233" spans="2:65" s="13" customFormat="1" ht="11.25">
      <c r="B233" s="154"/>
      <c r="D233" s="143" t="s">
        <v>138</v>
      </c>
      <c r="E233" s="155" t="s">
        <v>1</v>
      </c>
      <c r="F233" s="156" t="s">
        <v>227</v>
      </c>
      <c r="H233" s="157">
        <v>11538.52</v>
      </c>
      <c r="I233" s="158"/>
      <c r="L233" s="154"/>
      <c r="M233" s="159"/>
      <c r="T233" s="160"/>
      <c r="AT233" s="155" t="s">
        <v>138</v>
      </c>
      <c r="AU233" s="155" t="s">
        <v>90</v>
      </c>
      <c r="AV233" s="13" t="s">
        <v>90</v>
      </c>
      <c r="AW233" s="13" t="s">
        <v>35</v>
      </c>
      <c r="AX233" s="13" t="s">
        <v>88</v>
      </c>
      <c r="AY233" s="155" t="s">
        <v>126</v>
      </c>
    </row>
    <row r="234" spans="2:65" s="1" customFormat="1" ht="24.2" customHeight="1">
      <c r="B234" s="30"/>
      <c r="C234" s="130" t="s">
        <v>228</v>
      </c>
      <c r="D234" s="130" t="s">
        <v>128</v>
      </c>
      <c r="E234" s="131" t="s">
        <v>229</v>
      </c>
      <c r="F234" s="132" t="s">
        <v>230</v>
      </c>
      <c r="G234" s="133" t="s">
        <v>172</v>
      </c>
      <c r="H234" s="134">
        <v>11472.4</v>
      </c>
      <c r="I234" s="135"/>
      <c r="J234" s="136">
        <f>ROUND(I234*H234,2)</f>
        <v>0</v>
      </c>
      <c r="K234" s="132" t="s">
        <v>132</v>
      </c>
      <c r="L234" s="30"/>
      <c r="M234" s="137" t="s">
        <v>1</v>
      </c>
      <c r="N234" s="138" t="s">
        <v>45</v>
      </c>
      <c r="P234" s="139">
        <f>O234*H234</f>
        <v>0</v>
      </c>
      <c r="Q234" s="139">
        <v>0</v>
      </c>
      <c r="R234" s="139">
        <f>Q234*H234</f>
        <v>0</v>
      </c>
      <c r="S234" s="139">
        <v>0</v>
      </c>
      <c r="T234" s="140">
        <f>S234*H234</f>
        <v>0</v>
      </c>
      <c r="AR234" s="141" t="s">
        <v>133</v>
      </c>
      <c r="AT234" s="141" t="s">
        <v>128</v>
      </c>
      <c r="AU234" s="141" t="s">
        <v>90</v>
      </c>
      <c r="AY234" s="15" t="s">
        <v>126</v>
      </c>
      <c r="BE234" s="142">
        <f>IF(N234="základní",J234,0)</f>
        <v>0</v>
      </c>
      <c r="BF234" s="142">
        <f>IF(N234="snížená",J234,0)</f>
        <v>0</v>
      </c>
      <c r="BG234" s="142">
        <f>IF(N234="zákl. přenesená",J234,0)</f>
        <v>0</v>
      </c>
      <c r="BH234" s="142">
        <f>IF(N234="sníž. přenesená",J234,0)</f>
        <v>0</v>
      </c>
      <c r="BI234" s="142">
        <f>IF(N234="nulová",J234,0)</f>
        <v>0</v>
      </c>
      <c r="BJ234" s="15" t="s">
        <v>88</v>
      </c>
      <c r="BK234" s="142">
        <f>ROUND(I234*H234,2)</f>
        <v>0</v>
      </c>
      <c r="BL234" s="15" t="s">
        <v>133</v>
      </c>
      <c r="BM234" s="141" t="s">
        <v>231</v>
      </c>
    </row>
    <row r="235" spans="2:65" s="1" customFormat="1" ht="11.25">
      <c r="B235" s="30"/>
      <c r="D235" s="143" t="s">
        <v>135</v>
      </c>
      <c r="F235" s="144" t="s">
        <v>230</v>
      </c>
      <c r="I235" s="145"/>
      <c r="L235" s="30"/>
      <c r="M235" s="146"/>
      <c r="T235" s="54"/>
      <c r="AT235" s="15" t="s">
        <v>135</v>
      </c>
      <c r="AU235" s="15" t="s">
        <v>90</v>
      </c>
    </row>
    <row r="236" spans="2:65" s="1" customFormat="1" ht="97.5">
      <c r="B236" s="30"/>
      <c r="D236" s="143" t="s">
        <v>136</v>
      </c>
      <c r="F236" s="147" t="s">
        <v>232</v>
      </c>
      <c r="I236" s="145"/>
      <c r="L236" s="30"/>
      <c r="M236" s="146"/>
      <c r="T236" s="54"/>
      <c r="AT236" s="15" t="s">
        <v>136</v>
      </c>
      <c r="AU236" s="15" t="s">
        <v>90</v>
      </c>
    </row>
    <row r="237" spans="2:65" s="12" customFormat="1" ht="11.25">
      <c r="B237" s="148"/>
      <c r="D237" s="143" t="s">
        <v>138</v>
      </c>
      <c r="E237" s="149" t="s">
        <v>1</v>
      </c>
      <c r="F237" s="150" t="s">
        <v>233</v>
      </c>
      <c r="H237" s="149" t="s">
        <v>1</v>
      </c>
      <c r="I237" s="151"/>
      <c r="L237" s="148"/>
      <c r="M237" s="152"/>
      <c r="T237" s="153"/>
      <c r="AT237" s="149" t="s">
        <v>138</v>
      </c>
      <c r="AU237" s="149" t="s">
        <v>90</v>
      </c>
      <c r="AV237" s="12" t="s">
        <v>88</v>
      </c>
      <c r="AW237" s="12" t="s">
        <v>35</v>
      </c>
      <c r="AX237" s="12" t="s">
        <v>80</v>
      </c>
      <c r="AY237" s="149" t="s">
        <v>126</v>
      </c>
    </row>
    <row r="238" spans="2:65" s="12" customFormat="1" ht="11.25">
      <c r="B238" s="148"/>
      <c r="D238" s="143" t="s">
        <v>138</v>
      </c>
      <c r="E238" s="149" t="s">
        <v>1</v>
      </c>
      <c r="F238" s="150" t="s">
        <v>234</v>
      </c>
      <c r="H238" s="149" t="s">
        <v>1</v>
      </c>
      <c r="I238" s="151"/>
      <c r="L238" s="148"/>
      <c r="M238" s="152"/>
      <c r="T238" s="153"/>
      <c r="AT238" s="149" t="s">
        <v>138</v>
      </c>
      <c r="AU238" s="149" t="s">
        <v>90</v>
      </c>
      <c r="AV238" s="12" t="s">
        <v>88</v>
      </c>
      <c r="AW238" s="12" t="s">
        <v>35</v>
      </c>
      <c r="AX238" s="12" t="s">
        <v>80</v>
      </c>
      <c r="AY238" s="149" t="s">
        <v>126</v>
      </c>
    </row>
    <row r="239" spans="2:65" s="12" customFormat="1" ht="11.25">
      <c r="B239" s="148"/>
      <c r="D239" s="143" t="s">
        <v>138</v>
      </c>
      <c r="E239" s="149" t="s">
        <v>1</v>
      </c>
      <c r="F239" s="150" t="s">
        <v>235</v>
      </c>
      <c r="H239" s="149" t="s">
        <v>1</v>
      </c>
      <c r="I239" s="151"/>
      <c r="L239" s="148"/>
      <c r="M239" s="152"/>
      <c r="T239" s="153"/>
      <c r="AT239" s="149" t="s">
        <v>138</v>
      </c>
      <c r="AU239" s="149" t="s">
        <v>90</v>
      </c>
      <c r="AV239" s="12" t="s">
        <v>88</v>
      </c>
      <c r="AW239" s="12" t="s">
        <v>35</v>
      </c>
      <c r="AX239" s="12" t="s">
        <v>80</v>
      </c>
      <c r="AY239" s="149" t="s">
        <v>126</v>
      </c>
    </row>
    <row r="240" spans="2:65" s="12" customFormat="1" ht="11.25">
      <c r="B240" s="148"/>
      <c r="D240" s="143" t="s">
        <v>138</v>
      </c>
      <c r="E240" s="149" t="s">
        <v>1</v>
      </c>
      <c r="F240" s="150" t="s">
        <v>141</v>
      </c>
      <c r="H240" s="149" t="s">
        <v>1</v>
      </c>
      <c r="I240" s="151"/>
      <c r="L240" s="148"/>
      <c r="M240" s="152"/>
      <c r="T240" s="153"/>
      <c r="AT240" s="149" t="s">
        <v>138</v>
      </c>
      <c r="AU240" s="149" t="s">
        <v>90</v>
      </c>
      <c r="AV240" s="12" t="s">
        <v>88</v>
      </c>
      <c r="AW240" s="12" t="s">
        <v>35</v>
      </c>
      <c r="AX240" s="12" t="s">
        <v>80</v>
      </c>
      <c r="AY240" s="149" t="s">
        <v>126</v>
      </c>
    </row>
    <row r="241" spans="2:65" s="12" customFormat="1" ht="11.25">
      <c r="B241" s="148"/>
      <c r="D241" s="143" t="s">
        <v>138</v>
      </c>
      <c r="E241" s="149" t="s">
        <v>1</v>
      </c>
      <c r="F241" s="150" t="s">
        <v>142</v>
      </c>
      <c r="H241" s="149" t="s">
        <v>1</v>
      </c>
      <c r="I241" s="151"/>
      <c r="L241" s="148"/>
      <c r="M241" s="152"/>
      <c r="T241" s="153"/>
      <c r="AT241" s="149" t="s">
        <v>138</v>
      </c>
      <c r="AU241" s="149" t="s">
        <v>90</v>
      </c>
      <c r="AV241" s="12" t="s">
        <v>88</v>
      </c>
      <c r="AW241" s="12" t="s">
        <v>35</v>
      </c>
      <c r="AX241" s="12" t="s">
        <v>80</v>
      </c>
      <c r="AY241" s="149" t="s">
        <v>126</v>
      </c>
    </row>
    <row r="242" spans="2:65" s="12" customFormat="1" ht="11.25">
      <c r="B242" s="148"/>
      <c r="D242" s="143" t="s">
        <v>138</v>
      </c>
      <c r="E242" s="149" t="s">
        <v>1</v>
      </c>
      <c r="F242" s="150" t="s">
        <v>141</v>
      </c>
      <c r="H242" s="149" t="s">
        <v>1</v>
      </c>
      <c r="I242" s="151"/>
      <c r="L242" s="148"/>
      <c r="M242" s="152"/>
      <c r="T242" s="153"/>
      <c r="AT242" s="149" t="s">
        <v>138</v>
      </c>
      <c r="AU242" s="149" t="s">
        <v>90</v>
      </c>
      <c r="AV242" s="12" t="s">
        <v>88</v>
      </c>
      <c r="AW242" s="12" t="s">
        <v>35</v>
      </c>
      <c r="AX242" s="12" t="s">
        <v>80</v>
      </c>
      <c r="AY242" s="149" t="s">
        <v>126</v>
      </c>
    </row>
    <row r="243" spans="2:65" s="12" customFormat="1" ht="11.25">
      <c r="B243" s="148"/>
      <c r="D243" s="143" t="s">
        <v>138</v>
      </c>
      <c r="E243" s="149" t="s">
        <v>1</v>
      </c>
      <c r="F243" s="150" t="s">
        <v>236</v>
      </c>
      <c r="H243" s="149" t="s">
        <v>1</v>
      </c>
      <c r="I243" s="151"/>
      <c r="L243" s="148"/>
      <c r="M243" s="152"/>
      <c r="T243" s="153"/>
      <c r="AT243" s="149" t="s">
        <v>138</v>
      </c>
      <c r="AU243" s="149" t="s">
        <v>90</v>
      </c>
      <c r="AV243" s="12" t="s">
        <v>88</v>
      </c>
      <c r="AW243" s="12" t="s">
        <v>35</v>
      </c>
      <c r="AX243" s="12" t="s">
        <v>80</v>
      </c>
      <c r="AY243" s="149" t="s">
        <v>126</v>
      </c>
    </row>
    <row r="244" spans="2:65" s="12" customFormat="1" ht="11.25">
      <c r="B244" s="148"/>
      <c r="D244" s="143" t="s">
        <v>138</v>
      </c>
      <c r="E244" s="149" t="s">
        <v>1</v>
      </c>
      <c r="F244" s="150" t="s">
        <v>144</v>
      </c>
      <c r="H244" s="149" t="s">
        <v>1</v>
      </c>
      <c r="I244" s="151"/>
      <c r="L244" s="148"/>
      <c r="M244" s="152"/>
      <c r="T244" s="153"/>
      <c r="AT244" s="149" t="s">
        <v>138</v>
      </c>
      <c r="AU244" s="149" t="s">
        <v>90</v>
      </c>
      <c r="AV244" s="12" t="s">
        <v>88</v>
      </c>
      <c r="AW244" s="12" t="s">
        <v>35</v>
      </c>
      <c r="AX244" s="12" t="s">
        <v>80</v>
      </c>
      <c r="AY244" s="149" t="s">
        <v>126</v>
      </c>
    </row>
    <row r="245" spans="2:65" s="12" customFormat="1" ht="11.25">
      <c r="B245" s="148"/>
      <c r="D245" s="143" t="s">
        <v>138</v>
      </c>
      <c r="E245" s="149" t="s">
        <v>1</v>
      </c>
      <c r="F245" s="150" t="s">
        <v>145</v>
      </c>
      <c r="H245" s="149" t="s">
        <v>1</v>
      </c>
      <c r="I245" s="151"/>
      <c r="L245" s="148"/>
      <c r="M245" s="152"/>
      <c r="T245" s="153"/>
      <c r="AT245" s="149" t="s">
        <v>138</v>
      </c>
      <c r="AU245" s="149" t="s">
        <v>90</v>
      </c>
      <c r="AV245" s="12" t="s">
        <v>88</v>
      </c>
      <c r="AW245" s="12" t="s">
        <v>35</v>
      </c>
      <c r="AX245" s="12" t="s">
        <v>80</v>
      </c>
      <c r="AY245" s="149" t="s">
        <v>126</v>
      </c>
    </row>
    <row r="246" spans="2:65" s="12" customFormat="1" ht="11.25">
      <c r="B246" s="148"/>
      <c r="D246" s="143" t="s">
        <v>138</v>
      </c>
      <c r="E246" s="149" t="s">
        <v>1</v>
      </c>
      <c r="F246" s="150" t="s">
        <v>146</v>
      </c>
      <c r="H246" s="149" t="s">
        <v>1</v>
      </c>
      <c r="I246" s="151"/>
      <c r="L246" s="148"/>
      <c r="M246" s="152"/>
      <c r="T246" s="153"/>
      <c r="AT246" s="149" t="s">
        <v>138</v>
      </c>
      <c r="AU246" s="149" t="s">
        <v>90</v>
      </c>
      <c r="AV246" s="12" t="s">
        <v>88</v>
      </c>
      <c r="AW246" s="12" t="s">
        <v>35</v>
      </c>
      <c r="AX246" s="12" t="s">
        <v>80</v>
      </c>
      <c r="AY246" s="149" t="s">
        <v>126</v>
      </c>
    </row>
    <row r="247" spans="2:65" s="12" customFormat="1" ht="11.25">
      <c r="B247" s="148"/>
      <c r="D247" s="143" t="s">
        <v>138</v>
      </c>
      <c r="E247" s="149" t="s">
        <v>1</v>
      </c>
      <c r="F247" s="150" t="s">
        <v>145</v>
      </c>
      <c r="H247" s="149" t="s">
        <v>1</v>
      </c>
      <c r="I247" s="151"/>
      <c r="L247" s="148"/>
      <c r="M247" s="152"/>
      <c r="T247" s="153"/>
      <c r="AT247" s="149" t="s">
        <v>138</v>
      </c>
      <c r="AU247" s="149" t="s">
        <v>90</v>
      </c>
      <c r="AV247" s="12" t="s">
        <v>88</v>
      </c>
      <c r="AW247" s="12" t="s">
        <v>35</v>
      </c>
      <c r="AX247" s="12" t="s">
        <v>80</v>
      </c>
      <c r="AY247" s="149" t="s">
        <v>126</v>
      </c>
    </row>
    <row r="248" spans="2:65" s="12" customFormat="1" ht="11.25">
      <c r="B248" s="148"/>
      <c r="D248" s="143" t="s">
        <v>138</v>
      </c>
      <c r="E248" s="149" t="s">
        <v>1</v>
      </c>
      <c r="F248" s="150" t="s">
        <v>147</v>
      </c>
      <c r="H248" s="149" t="s">
        <v>1</v>
      </c>
      <c r="I248" s="151"/>
      <c r="L248" s="148"/>
      <c r="M248" s="152"/>
      <c r="T248" s="153"/>
      <c r="AT248" s="149" t="s">
        <v>138</v>
      </c>
      <c r="AU248" s="149" t="s">
        <v>90</v>
      </c>
      <c r="AV248" s="12" t="s">
        <v>88</v>
      </c>
      <c r="AW248" s="12" t="s">
        <v>35</v>
      </c>
      <c r="AX248" s="12" t="s">
        <v>80</v>
      </c>
      <c r="AY248" s="149" t="s">
        <v>126</v>
      </c>
    </row>
    <row r="249" spans="2:65" s="12" customFormat="1" ht="11.25">
      <c r="B249" s="148"/>
      <c r="D249" s="143" t="s">
        <v>138</v>
      </c>
      <c r="E249" s="149" t="s">
        <v>1</v>
      </c>
      <c r="F249" s="150" t="s">
        <v>145</v>
      </c>
      <c r="H249" s="149" t="s">
        <v>1</v>
      </c>
      <c r="I249" s="151"/>
      <c r="L249" s="148"/>
      <c r="M249" s="152"/>
      <c r="T249" s="153"/>
      <c r="AT249" s="149" t="s">
        <v>138</v>
      </c>
      <c r="AU249" s="149" t="s">
        <v>90</v>
      </c>
      <c r="AV249" s="12" t="s">
        <v>88</v>
      </c>
      <c r="AW249" s="12" t="s">
        <v>35</v>
      </c>
      <c r="AX249" s="12" t="s">
        <v>80</v>
      </c>
      <c r="AY249" s="149" t="s">
        <v>126</v>
      </c>
    </row>
    <row r="250" spans="2:65" s="12" customFormat="1" ht="11.25">
      <c r="B250" s="148"/>
      <c r="D250" s="143" t="s">
        <v>138</v>
      </c>
      <c r="E250" s="149" t="s">
        <v>1</v>
      </c>
      <c r="F250" s="150" t="s">
        <v>148</v>
      </c>
      <c r="H250" s="149" t="s">
        <v>1</v>
      </c>
      <c r="I250" s="151"/>
      <c r="L250" s="148"/>
      <c r="M250" s="152"/>
      <c r="T250" s="153"/>
      <c r="AT250" s="149" t="s">
        <v>138</v>
      </c>
      <c r="AU250" s="149" t="s">
        <v>90</v>
      </c>
      <c r="AV250" s="12" t="s">
        <v>88</v>
      </c>
      <c r="AW250" s="12" t="s">
        <v>35</v>
      </c>
      <c r="AX250" s="12" t="s">
        <v>80</v>
      </c>
      <c r="AY250" s="149" t="s">
        <v>126</v>
      </c>
    </row>
    <row r="251" spans="2:65" s="12" customFormat="1" ht="11.25">
      <c r="B251" s="148"/>
      <c r="D251" s="143" t="s">
        <v>138</v>
      </c>
      <c r="E251" s="149" t="s">
        <v>1</v>
      </c>
      <c r="F251" s="150" t="s">
        <v>145</v>
      </c>
      <c r="H251" s="149" t="s">
        <v>1</v>
      </c>
      <c r="I251" s="151"/>
      <c r="L251" s="148"/>
      <c r="M251" s="152"/>
      <c r="T251" s="153"/>
      <c r="AT251" s="149" t="s">
        <v>138</v>
      </c>
      <c r="AU251" s="149" t="s">
        <v>90</v>
      </c>
      <c r="AV251" s="12" t="s">
        <v>88</v>
      </c>
      <c r="AW251" s="12" t="s">
        <v>35</v>
      </c>
      <c r="AX251" s="12" t="s">
        <v>80</v>
      </c>
      <c r="AY251" s="149" t="s">
        <v>126</v>
      </c>
    </row>
    <row r="252" spans="2:65" s="12" customFormat="1" ht="11.25">
      <c r="B252" s="148"/>
      <c r="D252" s="143" t="s">
        <v>138</v>
      </c>
      <c r="E252" s="149" t="s">
        <v>1</v>
      </c>
      <c r="F252" s="150" t="s">
        <v>149</v>
      </c>
      <c r="H252" s="149" t="s">
        <v>1</v>
      </c>
      <c r="I252" s="151"/>
      <c r="L252" s="148"/>
      <c r="M252" s="152"/>
      <c r="T252" s="153"/>
      <c r="AT252" s="149" t="s">
        <v>138</v>
      </c>
      <c r="AU252" s="149" t="s">
        <v>90</v>
      </c>
      <c r="AV252" s="12" t="s">
        <v>88</v>
      </c>
      <c r="AW252" s="12" t="s">
        <v>35</v>
      </c>
      <c r="AX252" s="12" t="s">
        <v>80</v>
      </c>
      <c r="AY252" s="149" t="s">
        <v>126</v>
      </c>
    </row>
    <row r="253" spans="2:65" s="12" customFormat="1" ht="11.25">
      <c r="B253" s="148"/>
      <c r="D253" s="143" t="s">
        <v>138</v>
      </c>
      <c r="E253" s="149" t="s">
        <v>1</v>
      </c>
      <c r="F253" s="150" t="s">
        <v>150</v>
      </c>
      <c r="H253" s="149" t="s">
        <v>1</v>
      </c>
      <c r="I253" s="151"/>
      <c r="L253" s="148"/>
      <c r="M253" s="152"/>
      <c r="T253" s="153"/>
      <c r="AT253" s="149" t="s">
        <v>138</v>
      </c>
      <c r="AU253" s="149" t="s">
        <v>90</v>
      </c>
      <c r="AV253" s="12" t="s">
        <v>88</v>
      </c>
      <c r="AW253" s="12" t="s">
        <v>35</v>
      </c>
      <c r="AX253" s="12" t="s">
        <v>80</v>
      </c>
      <c r="AY253" s="149" t="s">
        <v>126</v>
      </c>
    </row>
    <row r="254" spans="2:65" s="13" customFormat="1" ht="11.25">
      <c r="B254" s="154"/>
      <c r="D254" s="143" t="s">
        <v>138</v>
      </c>
      <c r="E254" s="155" t="s">
        <v>1</v>
      </c>
      <c r="F254" s="156" t="s">
        <v>237</v>
      </c>
      <c r="H254" s="157">
        <v>11472.4</v>
      </c>
      <c r="I254" s="158"/>
      <c r="L254" s="154"/>
      <c r="M254" s="159"/>
      <c r="T254" s="160"/>
      <c r="AT254" s="155" t="s">
        <v>138</v>
      </c>
      <c r="AU254" s="155" t="s">
        <v>90</v>
      </c>
      <c r="AV254" s="13" t="s">
        <v>90</v>
      </c>
      <c r="AW254" s="13" t="s">
        <v>35</v>
      </c>
      <c r="AX254" s="13" t="s">
        <v>88</v>
      </c>
      <c r="AY254" s="155" t="s">
        <v>126</v>
      </c>
    </row>
    <row r="255" spans="2:65" s="1" customFormat="1" ht="24.2" customHeight="1">
      <c r="B255" s="30"/>
      <c r="C255" s="130" t="s">
        <v>238</v>
      </c>
      <c r="D255" s="130" t="s">
        <v>128</v>
      </c>
      <c r="E255" s="131" t="s">
        <v>239</v>
      </c>
      <c r="F255" s="132" t="s">
        <v>240</v>
      </c>
      <c r="G255" s="133" t="s">
        <v>172</v>
      </c>
      <c r="H255" s="134">
        <v>11481.68</v>
      </c>
      <c r="I255" s="135"/>
      <c r="J255" s="136">
        <f>ROUND(I255*H255,2)</f>
        <v>0</v>
      </c>
      <c r="K255" s="132" t="s">
        <v>132</v>
      </c>
      <c r="L255" s="30"/>
      <c r="M255" s="137" t="s">
        <v>1</v>
      </c>
      <c r="N255" s="138" t="s">
        <v>45</v>
      </c>
      <c r="P255" s="139">
        <f>O255*H255</f>
        <v>0</v>
      </c>
      <c r="Q255" s="139">
        <v>0</v>
      </c>
      <c r="R255" s="139">
        <f>Q255*H255</f>
        <v>0</v>
      </c>
      <c r="S255" s="139">
        <v>0</v>
      </c>
      <c r="T255" s="140">
        <f>S255*H255</f>
        <v>0</v>
      </c>
      <c r="AR255" s="141" t="s">
        <v>133</v>
      </c>
      <c r="AT255" s="141" t="s">
        <v>128</v>
      </c>
      <c r="AU255" s="141" t="s">
        <v>90</v>
      </c>
      <c r="AY255" s="15" t="s">
        <v>126</v>
      </c>
      <c r="BE255" s="142">
        <f>IF(N255="základní",J255,0)</f>
        <v>0</v>
      </c>
      <c r="BF255" s="142">
        <f>IF(N255="snížená",J255,0)</f>
        <v>0</v>
      </c>
      <c r="BG255" s="142">
        <f>IF(N255="zákl. přenesená",J255,0)</f>
        <v>0</v>
      </c>
      <c r="BH255" s="142">
        <f>IF(N255="sníž. přenesená",J255,0)</f>
        <v>0</v>
      </c>
      <c r="BI255" s="142">
        <f>IF(N255="nulová",J255,0)</f>
        <v>0</v>
      </c>
      <c r="BJ255" s="15" t="s">
        <v>88</v>
      </c>
      <c r="BK255" s="142">
        <f>ROUND(I255*H255,2)</f>
        <v>0</v>
      </c>
      <c r="BL255" s="15" t="s">
        <v>133</v>
      </c>
      <c r="BM255" s="141" t="s">
        <v>241</v>
      </c>
    </row>
    <row r="256" spans="2:65" s="1" customFormat="1" ht="11.25">
      <c r="B256" s="30"/>
      <c r="D256" s="143" t="s">
        <v>135</v>
      </c>
      <c r="F256" s="144" t="s">
        <v>240</v>
      </c>
      <c r="I256" s="145"/>
      <c r="L256" s="30"/>
      <c r="M256" s="146"/>
      <c r="T256" s="54"/>
      <c r="AT256" s="15" t="s">
        <v>135</v>
      </c>
      <c r="AU256" s="15" t="s">
        <v>90</v>
      </c>
    </row>
    <row r="257" spans="2:65" s="1" customFormat="1" ht="97.5">
      <c r="B257" s="30"/>
      <c r="D257" s="143" t="s">
        <v>136</v>
      </c>
      <c r="F257" s="147" t="s">
        <v>232</v>
      </c>
      <c r="I257" s="145"/>
      <c r="L257" s="30"/>
      <c r="M257" s="146"/>
      <c r="T257" s="54"/>
      <c r="AT257" s="15" t="s">
        <v>136</v>
      </c>
      <c r="AU257" s="15" t="s">
        <v>90</v>
      </c>
    </row>
    <row r="258" spans="2:65" s="12" customFormat="1" ht="11.25">
      <c r="B258" s="148"/>
      <c r="D258" s="143" t="s">
        <v>138</v>
      </c>
      <c r="E258" s="149" t="s">
        <v>1</v>
      </c>
      <c r="F258" s="150" t="s">
        <v>242</v>
      </c>
      <c r="H258" s="149" t="s">
        <v>1</v>
      </c>
      <c r="I258" s="151"/>
      <c r="L258" s="148"/>
      <c r="M258" s="152"/>
      <c r="T258" s="153"/>
      <c r="AT258" s="149" t="s">
        <v>138</v>
      </c>
      <c r="AU258" s="149" t="s">
        <v>90</v>
      </c>
      <c r="AV258" s="12" t="s">
        <v>88</v>
      </c>
      <c r="AW258" s="12" t="s">
        <v>35</v>
      </c>
      <c r="AX258" s="12" t="s">
        <v>80</v>
      </c>
      <c r="AY258" s="149" t="s">
        <v>126</v>
      </c>
    </row>
    <row r="259" spans="2:65" s="12" customFormat="1" ht="11.25">
      <c r="B259" s="148"/>
      <c r="D259" s="143" t="s">
        <v>138</v>
      </c>
      <c r="E259" s="149" t="s">
        <v>1</v>
      </c>
      <c r="F259" s="150" t="s">
        <v>234</v>
      </c>
      <c r="H259" s="149" t="s">
        <v>1</v>
      </c>
      <c r="I259" s="151"/>
      <c r="L259" s="148"/>
      <c r="M259" s="152"/>
      <c r="T259" s="153"/>
      <c r="AT259" s="149" t="s">
        <v>138</v>
      </c>
      <c r="AU259" s="149" t="s">
        <v>90</v>
      </c>
      <c r="AV259" s="12" t="s">
        <v>88</v>
      </c>
      <c r="AW259" s="12" t="s">
        <v>35</v>
      </c>
      <c r="AX259" s="12" t="s">
        <v>80</v>
      </c>
      <c r="AY259" s="149" t="s">
        <v>126</v>
      </c>
    </row>
    <row r="260" spans="2:65" s="12" customFormat="1" ht="11.25">
      <c r="B260" s="148"/>
      <c r="D260" s="143" t="s">
        <v>138</v>
      </c>
      <c r="E260" s="149" t="s">
        <v>1</v>
      </c>
      <c r="F260" s="150" t="s">
        <v>155</v>
      </c>
      <c r="H260" s="149" t="s">
        <v>1</v>
      </c>
      <c r="I260" s="151"/>
      <c r="L260" s="148"/>
      <c r="M260" s="152"/>
      <c r="T260" s="153"/>
      <c r="AT260" s="149" t="s">
        <v>138</v>
      </c>
      <c r="AU260" s="149" t="s">
        <v>90</v>
      </c>
      <c r="AV260" s="12" t="s">
        <v>88</v>
      </c>
      <c r="AW260" s="12" t="s">
        <v>35</v>
      </c>
      <c r="AX260" s="12" t="s">
        <v>80</v>
      </c>
      <c r="AY260" s="149" t="s">
        <v>126</v>
      </c>
    </row>
    <row r="261" spans="2:65" s="12" customFormat="1" ht="11.25">
      <c r="B261" s="148"/>
      <c r="D261" s="143" t="s">
        <v>138</v>
      </c>
      <c r="E261" s="149" t="s">
        <v>1</v>
      </c>
      <c r="F261" s="150" t="s">
        <v>142</v>
      </c>
      <c r="H261" s="149" t="s">
        <v>1</v>
      </c>
      <c r="I261" s="151"/>
      <c r="L261" s="148"/>
      <c r="M261" s="152"/>
      <c r="T261" s="153"/>
      <c r="AT261" s="149" t="s">
        <v>138</v>
      </c>
      <c r="AU261" s="149" t="s">
        <v>90</v>
      </c>
      <c r="AV261" s="12" t="s">
        <v>88</v>
      </c>
      <c r="AW261" s="12" t="s">
        <v>35</v>
      </c>
      <c r="AX261" s="12" t="s">
        <v>80</v>
      </c>
      <c r="AY261" s="149" t="s">
        <v>126</v>
      </c>
    </row>
    <row r="262" spans="2:65" s="12" customFormat="1" ht="11.25">
      <c r="B262" s="148"/>
      <c r="D262" s="143" t="s">
        <v>138</v>
      </c>
      <c r="E262" s="149" t="s">
        <v>1</v>
      </c>
      <c r="F262" s="150" t="s">
        <v>155</v>
      </c>
      <c r="H262" s="149" t="s">
        <v>1</v>
      </c>
      <c r="I262" s="151"/>
      <c r="L262" s="148"/>
      <c r="M262" s="152"/>
      <c r="T262" s="153"/>
      <c r="AT262" s="149" t="s">
        <v>138</v>
      </c>
      <c r="AU262" s="149" t="s">
        <v>90</v>
      </c>
      <c r="AV262" s="12" t="s">
        <v>88</v>
      </c>
      <c r="AW262" s="12" t="s">
        <v>35</v>
      </c>
      <c r="AX262" s="12" t="s">
        <v>80</v>
      </c>
      <c r="AY262" s="149" t="s">
        <v>126</v>
      </c>
    </row>
    <row r="263" spans="2:65" s="12" customFormat="1" ht="11.25">
      <c r="B263" s="148"/>
      <c r="D263" s="143" t="s">
        <v>138</v>
      </c>
      <c r="E263" s="149" t="s">
        <v>1</v>
      </c>
      <c r="F263" s="150" t="s">
        <v>243</v>
      </c>
      <c r="H263" s="149" t="s">
        <v>1</v>
      </c>
      <c r="I263" s="151"/>
      <c r="L263" s="148"/>
      <c r="M263" s="152"/>
      <c r="T263" s="153"/>
      <c r="AT263" s="149" t="s">
        <v>138</v>
      </c>
      <c r="AU263" s="149" t="s">
        <v>90</v>
      </c>
      <c r="AV263" s="12" t="s">
        <v>88</v>
      </c>
      <c r="AW263" s="12" t="s">
        <v>35</v>
      </c>
      <c r="AX263" s="12" t="s">
        <v>80</v>
      </c>
      <c r="AY263" s="149" t="s">
        <v>126</v>
      </c>
    </row>
    <row r="264" spans="2:65" s="13" customFormat="1" ht="11.25">
      <c r="B264" s="154"/>
      <c r="D264" s="143" t="s">
        <v>138</v>
      </c>
      <c r="E264" s="155" t="s">
        <v>1</v>
      </c>
      <c r="F264" s="156" t="s">
        <v>244</v>
      </c>
      <c r="H264" s="157">
        <v>11481.68</v>
      </c>
      <c r="I264" s="158"/>
      <c r="L264" s="154"/>
      <c r="M264" s="159"/>
      <c r="T264" s="160"/>
      <c r="AT264" s="155" t="s">
        <v>138</v>
      </c>
      <c r="AU264" s="155" t="s">
        <v>90</v>
      </c>
      <c r="AV264" s="13" t="s">
        <v>90</v>
      </c>
      <c r="AW264" s="13" t="s">
        <v>35</v>
      </c>
      <c r="AX264" s="13" t="s">
        <v>88</v>
      </c>
      <c r="AY264" s="155" t="s">
        <v>126</v>
      </c>
    </row>
    <row r="265" spans="2:65" s="1" customFormat="1" ht="24.2" customHeight="1">
      <c r="B265" s="30"/>
      <c r="C265" s="130" t="s">
        <v>245</v>
      </c>
      <c r="D265" s="130" t="s">
        <v>128</v>
      </c>
      <c r="E265" s="131" t="s">
        <v>246</v>
      </c>
      <c r="F265" s="132" t="s">
        <v>247</v>
      </c>
      <c r="G265" s="133" t="s">
        <v>172</v>
      </c>
      <c r="H265" s="134">
        <v>11225.9</v>
      </c>
      <c r="I265" s="135"/>
      <c r="J265" s="136">
        <f>ROUND(I265*H265,2)</f>
        <v>0</v>
      </c>
      <c r="K265" s="132" t="s">
        <v>132</v>
      </c>
      <c r="L265" s="30"/>
      <c r="M265" s="137" t="s">
        <v>1</v>
      </c>
      <c r="N265" s="138" t="s">
        <v>45</v>
      </c>
      <c r="P265" s="139">
        <f>O265*H265</f>
        <v>0</v>
      </c>
      <c r="Q265" s="139">
        <v>0</v>
      </c>
      <c r="R265" s="139">
        <f>Q265*H265</f>
        <v>0</v>
      </c>
      <c r="S265" s="139">
        <v>0</v>
      </c>
      <c r="T265" s="140">
        <f>S265*H265</f>
        <v>0</v>
      </c>
      <c r="AR265" s="141" t="s">
        <v>133</v>
      </c>
      <c r="AT265" s="141" t="s">
        <v>128</v>
      </c>
      <c r="AU265" s="141" t="s">
        <v>90</v>
      </c>
      <c r="AY265" s="15" t="s">
        <v>126</v>
      </c>
      <c r="BE265" s="142">
        <f>IF(N265="základní",J265,0)</f>
        <v>0</v>
      </c>
      <c r="BF265" s="142">
        <f>IF(N265="snížená",J265,0)</f>
        <v>0</v>
      </c>
      <c r="BG265" s="142">
        <f>IF(N265="zákl. přenesená",J265,0)</f>
        <v>0</v>
      </c>
      <c r="BH265" s="142">
        <f>IF(N265="sníž. přenesená",J265,0)</f>
        <v>0</v>
      </c>
      <c r="BI265" s="142">
        <f>IF(N265="nulová",J265,0)</f>
        <v>0</v>
      </c>
      <c r="BJ265" s="15" t="s">
        <v>88</v>
      </c>
      <c r="BK265" s="142">
        <f>ROUND(I265*H265,2)</f>
        <v>0</v>
      </c>
      <c r="BL265" s="15" t="s">
        <v>133</v>
      </c>
      <c r="BM265" s="141" t="s">
        <v>248</v>
      </c>
    </row>
    <row r="266" spans="2:65" s="1" customFormat="1" ht="19.5">
      <c r="B266" s="30"/>
      <c r="D266" s="143" t="s">
        <v>135</v>
      </c>
      <c r="F266" s="144" t="s">
        <v>247</v>
      </c>
      <c r="I266" s="145"/>
      <c r="L266" s="30"/>
      <c r="M266" s="146"/>
      <c r="T266" s="54"/>
      <c r="AT266" s="15" t="s">
        <v>135</v>
      </c>
      <c r="AU266" s="15" t="s">
        <v>90</v>
      </c>
    </row>
    <row r="267" spans="2:65" s="1" customFormat="1" ht="97.5">
      <c r="B267" s="30"/>
      <c r="D267" s="143" t="s">
        <v>136</v>
      </c>
      <c r="F267" s="147" t="s">
        <v>232</v>
      </c>
      <c r="I267" s="145"/>
      <c r="L267" s="30"/>
      <c r="M267" s="146"/>
      <c r="T267" s="54"/>
      <c r="AT267" s="15" t="s">
        <v>136</v>
      </c>
      <c r="AU267" s="15" t="s">
        <v>90</v>
      </c>
    </row>
    <row r="268" spans="2:65" s="12" customFormat="1" ht="11.25">
      <c r="B268" s="148"/>
      <c r="D268" s="143" t="s">
        <v>138</v>
      </c>
      <c r="E268" s="149" t="s">
        <v>1</v>
      </c>
      <c r="F268" s="150" t="s">
        <v>249</v>
      </c>
      <c r="H268" s="149" t="s">
        <v>1</v>
      </c>
      <c r="I268" s="151"/>
      <c r="L268" s="148"/>
      <c r="M268" s="152"/>
      <c r="T268" s="153"/>
      <c r="AT268" s="149" t="s">
        <v>138</v>
      </c>
      <c r="AU268" s="149" t="s">
        <v>90</v>
      </c>
      <c r="AV268" s="12" t="s">
        <v>88</v>
      </c>
      <c r="AW268" s="12" t="s">
        <v>35</v>
      </c>
      <c r="AX268" s="12" t="s">
        <v>80</v>
      </c>
      <c r="AY268" s="149" t="s">
        <v>126</v>
      </c>
    </row>
    <row r="269" spans="2:65" s="12" customFormat="1" ht="11.25">
      <c r="B269" s="148"/>
      <c r="D269" s="143" t="s">
        <v>138</v>
      </c>
      <c r="E269" s="149" t="s">
        <v>1</v>
      </c>
      <c r="F269" s="150" t="s">
        <v>234</v>
      </c>
      <c r="H269" s="149" t="s">
        <v>1</v>
      </c>
      <c r="I269" s="151"/>
      <c r="L269" s="148"/>
      <c r="M269" s="152"/>
      <c r="T269" s="153"/>
      <c r="AT269" s="149" t="s">
        <v>138</v>
      </c>
      <c r="AU269" s="149" t="s">
        <v>90</v>
      </c>
      <c r="AV269" s="12" t="s">
        <v>88</v>
      </c>
      <c r="AW269" s="12" t="s">
        <v>35</v>
      </c>
      <c r="AX269" s="12" t="s">
        <v>80</v>
      </c>
      <c r="AY269" s="149" t="s">
        <v>126</v>
      </c>
    </row>
    <row r="270" spans="2:65" s="12" customFormat="1" ht="11.25">
      <c r="B270" s="148"/>
      <c r="D270" s="143" t="s">
        <v>138</v>
      </c>
      <c r="E270" s="149" t="s">
        <v>1</v>
      </c>
      <c r="F270" s="150" t="s">
        <v>155</v>
      </c>
      <c r="H270" s="149" t="s">
        <v>1</v>
      </c>
      <c r="I270" s="151"/>
      <c r="L270" s="148"/>
      <c r="M270" s="152"/>
      <c r="T270" s="153"/>
      <c r="AT270" s="149" t="s">
        <v>138</v>
      </c>
      <c r="AU270" s="149" t="s">
        <v>90</v>
      </c>
      <c r="AV270" s="12" t="s">
        <v>88</v>
      </c>
      <c r="AW270" s="12" t="s">
        <v>35</v>
      </c>
      <c r="AX270" s="12" t="s">
        <v>80</v>
      </c>
      <c r="AY270" s="149" t="s">
        <v>126</v>
      </c>
    </row>
    <row r="271" spans="2:65" s="12" customFormat="1" ht="11.25">
      <c r="B271" s="148"/>
      <c r="D271" s="143" t="s">
        <v>138</v>
      </c>
      <c r="E271" s="149" t="s">
        <v>1</v>
      </c>
      <c r="F271" s="150" t="s">
        <v>142</v>
      </c>
      <c r="H271" s="149" t="s">
        <v>1</v>
      </c>
      <c r="I271" s="151"/>
      <c r="L271" s="148"/>
      <c r="M271" s="152"/>
      <c r="T271" s="153"/>
      <c r="AT271" s="149" t="s">
        <v>138</v>
      </c>
      <c r="AU271" s="149" t="s">
        <v>90</v>
      </c>
      <c r="AV271" s="12" t="s">
        <v>88</v>
      </c>
      <c r="AW271" s="12" t="s">
        <v>35</v>
      </c>
      <c r="AX271" s="12" t="s">
        <v>80</v>
      </c>
      <c r="AY271" s="149" t="s">
        <v>126</v>
      </c>
    </row>
    <row r="272" spans="2:65" s="13" customFormat="1" ht="11.25">
      <c r="B272" s="154"/>
      <c r="D272" s="143" t="s">
        <v>138</v>
      </c>
      <c r="E272" s="155" t="s">
        <v>1</v>
      </c>
      <c r="F272" s="156" t="s">
        <v>250</v>
      </c>
      <c r="H272" s="157">
        <v>11225.9</v>
      </c>
      <c r="I272" s="158"/>
      <c r="L272" s="154"/>
      <c r="M272" s="159"/>
      <c r="T272" s="160"/>
      <c r="AT272" s="155" t="s">
        <v>138</v>
      </c>
      <c r="AU272" s="155" t="s">
        <v>90</v>
      </c>
      <c r="AV272" s="13" t="s">
        <v>90</v>
      </c>
      <c r="AW272" s="13" t="s">
        <v>35</v>
      </c>
      <c r="AX272" s="13" t="s">
        <v>88</v>
      </c>
      <c r="AY272" s="155" t="s">
        <v>126</v>
      </c>
    </row>
    <row r="273" spans="2:65" s="11" customFormat="1" ht="22.9" customHeight="1">
      <c r="B273" s="118"/>
      <c r="D273" s="119" t="s">
        <v>79</v>
      </c>
      <c r="E273" s="128" t="s">
        <v>251</v>
      </c>
      <c r="F273" s="128" t="s">
        <v>252</v>
      </c>
      <c r="I273" s="121"/>
      <c r="J273" s="129">
        <f>BK273</f>
        <v>0</v>
      </c>
      <c r="L273" s="118"/>
      <c r="M273" s="123"/>
      <c r="P273" s="124">
        <f>SUM(P274:P289)</f>
        <v>0</v>
      </c>
      <c r="R273" s="124">
        <f>SUM(R274:R289)</f>
        <v>0</v>
      </c>
      <c r="T273" s="125">
        <f>SUM(T274:T289)</f>
        <v>0</v>
      </c>
      <c r="AR273" s="119" t="s">
        <v>88</v>
      </c>
      <c r="AT273" s="126" t="s">
        <v>79</v>
      </c>
      <c r="AU273" s="126" t="s">
        <v>88</v>
      </c>
      <c r="AY273" s="119" t="s">
        <v>126</v>
      </c>
      <c r="BK273" s="127">
        <f>SUM(BK274:BK289)</f>
        <v>0</v>
      </c>
    </row>
    <row r="274" spans="2:65" s="1" customFormat="1" ht="24.2" customHeight="1">
      <c r="B274" s="30"/>
      <c r="C274" s="130" t="s">
        <v>253</v>
      </c>
      <c r="D274" s="130" t="s">
        <v>128</v>
      </c>
      <c r="E274" s="131" t="s">
        <v>254</v>
      </c>
      <c r="F274" s="132" t="s">
        <v>255</v>
      </c>
      <c r="G274" s="133" t="s">
        <v>256</v>
      </c>
      <c r="H274" s="134">
        <v>4</v>
      </c>
      <c r="I274" s="135"/>
      <c r="J274" s="136">
        <f>ROUND(I274*H274,2)</f>
        <v>0</v>
      </c>
      <c r="K274" s="132" t="s">
        <v>132</v>
      </c>
      <c r="L274" s="30"/>
      <c r="M274" s="137" t="s">
        <v>1</v>
      </c>
      <c r="N274" s="138" t="s">
        <v>45</v>
      </c>
      <c r="P274" s="139">
        <f>O274*H274</f>
        <v>0</v>
      </c>
      <c r="Q274" s="139">
        <v>0</v>
      </c>
      <c r="R274" s="139">
        <f>Q274*H274</f>
        <v>0</v>
      </c>
      <c r="S274" s="139">
        <v>0</v>
      </c>
      <c r="T274" s="140">
        <f>S274*H274</f>
        <v>0</v>
      </c>
      <c r="AR274" s="141" t="s">
        <v>133</v>
      </c>
      <c r="AT274" s="141" t="s">
        <v>128</v>
      </c>
      <c r="AU274" s="141" t="s">
        <v>90</v>
      </c>
      <c r="AY274" s="15" t="s">
        <v>126</v>
      </c>
      <c r="BE274" s="142">
        <f>IF(N274="základní",J274,0)</f>
        <v>0</v>
      </c>
      <c r="BF274" s="142">
        <f>IF(N274="snížená",J274,0)</f>
        <v>0</v>
      </c>
      <c r="BG274" s="142">
        <f>IF(N274="zákl. přenesená",J274,0)</f>
        <v>0</v>
      </c>
      <c r="BH274" s="142">
        <f>IF(N274="sníž. přenesená",J274,0)</f>
        <v>0</v>
      </c>
      <c r="BI274" s="142">
        <f>IF(N274="nulová",J274,0)</f>
        <v>0</v>
      </c>
      <c r="BJ274" s="15" t="s">
        <v>88</v>
      </c>
      <c r="BK274" s="142">
        <f>ROUND(I274*H274,2)</f>
        <v>0</v>
      </c>
      <c r="BL274" s="15" t="s">
        <v>133</v>
      </c>
      <c r="BM274" s="141" t="s">
        <v>257</v>
      </c>
    </row>
    <row r="275" spans="2:65" s="1" customFormat="1" ht="11.25">
      <c r="B275" s="30"/>
      <c r="D275" s="143" t="s">
        <v>135</v>
      </c>
      <c r="F275" s="144" t="s">
        <v>255</v>
      </c>
      <c r="I275" s="145"/>
      <c r="L275" s="30"/>
      <c r="M275" s="146"/>
      <c r="T275" s="54"/>
      <c r="AT275" s="15" t="s">
        <v>135</v>
      </c>
      <c r="AU275" s="15" t="s">
        <v>90</v>
      </c>
    </row>
    <row r="276" spans="2:65" s="1" customFormat="1" ht="175.5">
      <c r="B276" s="30"/>
      <c r="D276" s="143" t="s">
        <v>136</v>
      </c>
      <c r="F276" s="147" t="s">
        <v>258</v>
      </c>
      <c r="I276" s="145"/>
      <c r="L276" s="30"/>
      <c r="M276" s="146"/>
      <c r="T276" s="54"/>
      <c r="AT276" s="15" t="s">
        <v>136</v>
      </c>
      <c r="AU276" s="15" t="s">
        <v>90</v>
      </c>
    </row>
    <row r="277" spans="2:65" s="12" customFormat="1" ht="11.25">
      <c r="B277" s="148"/>
      <c r="D277" s="143" t="s">
        <v>138</v>
      </c>
      <c r="E277" s="149" t="s">
        <v>1</v>
      </c>
      <c r="F277" s="150" t="s">
        <v>259</v>
      </c>
      <c r="H277" s="149" t="s">
        <v>1</v>
      </c>
      <c r="I277" s="151"/>
      <c r="L277" s="148"/>
      <c r="M277" s="152"/>
      <c r="T277" s="153"/>
      <c r="AT277" s="149" t="s">
        <v>138</v>
      </c>
      <c r="AU277" s="149" t="s">
        <v>90</v>
      </c>
      <c r="AV277" s="12" t="s">
        <v>88</v>
      </c>
      <c r="AW277" s="12" t="s">
        <v>35</v>
      </c>
      <c r="AX277" s="12" t="s">
        <v>80</v>
      </c>
      <c r="AY277" s="149" t="s">
        <v>126</v>
      </c>
    </row>
    <row r="278" spans="2:65" s="12" customFormat="1" ht="11.25">
      <c r="B278" s="148"/>
      <c r="D278" s="143" t="s">
        <v>138</v>
      </c>
      <c r="E278" s="149" t="s">
        <v>1</v>
      </c>
      <c r="F278" s="150" t="s">
        <v>260</v>
      </c>
      <c r="H278" s="149" t="s">
        <v>1</v>
      </c>
      <c r="I278" s="151"/>
      <c r="L278" s="148"/>
      <c r="M278" s="152"/>
      <c r="T278" s="153"/>
      <c r="AT278" s="149" t="s">
        <v>138</v>
      </c>
      <c r="AU278" s="149" t="s">
        <v>90</v>
      </c>
      <c r="AV278" s="12" t="s">
        <v>88</v>
      </c>
      <c r="AW278" s="12" t="s">
        <v>35</v>
      </c>
      <c r="AX278" s="12" t="s">
        <v>80</v>
      </c>
      <c r="AY278" s="149" t="s">
        <v>126</v>
      </c>
    </row>
    <row r="279" spans="2:65" s="13" customFormat="1" ht="11.25">
      <c r="B279" s="154"/>
      <c r="D279" s="143" t="s">
        <v>138</v>
      </c>
      <c r="E279" s="155" t="s">
        <v>1</v>
      </c>
      <c r="F279" s="156" t="s">
        <v>133</v>
      </c>
      <c r="H279" s="157">
        <v>4</v>
      </c>
      <c r="I279" s="158"/>
      <c r="L279" s="154"/>
      <c r="M279" s="159"/>
      <c r="T279" s="160"/>
      <c r="AT279" s="155" t="s">
        <v>138</v>
      </c>
      <c r="AU279" s="155" t="s">
        <v>90</v>
      </c>
      <c r="AV279" s="13" t="s">
        <v>90</v>
      </c>
      <c r="AW279" s="13" t="s">
        <v>35</v>
      </c>
      <c r="AX279" s="13" t="s">
        <v>88</v>
      </c>
      <c r="AY279" s="155" t="s">
        <v>126</v>
      </c>
    </row>
    <row r="280" spans="2:65" s="1" customFormat="1" ht="16.5" customHeight="1">
      <c r="B280" s="30"/>
      <c r="C280" s="130" t="s">
        <v>261</v>
      </c>
      <c r="D280" s="130" t="s">
        <v>128</v>
      </c>
      <c r="E280" s="131" t="s">
        <v>262</v>
      </c>
      <c r="F280" s="132" t="s">
        <v>263</v>
      </c>
      <c r="G280" s="133" t="s">
        <v>256</v>
      </c>
      <c r="H280" s="134">
        <v>3</v>
      </c>
      <c r="I280" s="135"/>
      <c r="J280" s="136">
        <f>ROUND(I280*H280,2)</f>
        <v>0</v>
      </c>
      <c r="K280" s="132" t="s">
        <v>132</v>
      </c>
      <c r="L280" s="30"/>
      <c r="M280" s="137" t="s">
        <v>1</v>
      </c>
      <c r="N280" s="138" t="s">
        <v>45</v>
      </c>
      <c r="P280" s="139">
        <f>O280*H280</f>
        <v>0</v>
      </c>
      <c r="Q280" s="139">
        <v>0</v>
      </c>
      <c r="R280" s="139">
        <f>Q280*H280</f>
        <v>0</v>
      </c>
      <c r="S280" s="139">
        <v>0</v>
      </c>
      <c r="T280" s="140">
        <f>S280*H280</f>
        <v>0</v>
      </c>
      <c r="AR280" s="141" t="s">
        <v>133</v>
      </c>
      <c r="AT280" s="141" t="s">
        <v>128</v>
      </c>
      <c r="AU280" s="141" t="s">
        <v>90</v>
      </c>
      <c r="AY280" s="15" t="s">
        <v>126</v>
      </c>
      <c r="BE280" s="142">
        <f>IF(N280="základní",J280,0)</f>
        <v>0</v>
      </c>
      <c r="BF280" s="142">
        <f>IF(N280="snížená",J280,0)</f>
        <v>0</v>
      </c>
      <c r="BG280" s="142">
        <f>IF(N280="zákl. přenesená",J280,0)</f>
        <v>0</v>
      </c>
      <c r="BH280" s="142">
        <f>IF(N280="sníž. přenesená",J280,0)</f>
        <v>0</v>
      </c>
      <c r="BI280" s="142">
        <f>IF(N280="nulová",J280,0)</f>
        <v>0</v>
      </c>
      <c r="BJ280" s="15" t="s">
        <v>88</v>
      </c>
      <c r="BK280" s="142">
        <f>ROUND(I280*H280,2)</f>
        <v>0</v>
      </c>
      <c r="BL280" s="15" t="s">
        <v>133</v>
      </c>
      <c r="BM280" s="141" t="s">
        <v>264</v>
      </c>
    </row>
    <row r="281" spans="2:65" s="1" customFormat="1" ht="11.25">
      <c r="B281" s="30"/>
      <c r="D281" s="143" t="s">
        <v>135</v>
      </c>
      <c r="F281" s="144" t="s">
        <v>263</v>
      </c>
      <c r="I281" s="145"/>
      <c r="L281" s="30"/>
      <c r="M281" s="146"/>
      <c r="T281" s="54"/>
      <c r="AT281" s="15" t="s">
        <v>135</v>
      </c>
      <c r="AU281" s="15" t="s">
        <v>90</v>
      </c>
    </row>
    <row r="282" spans="2:65" s="1" customFormat="1" ht="39">
      <c r="B282" s="30"/>
      <c r="D282" s="143" t="s">
        <v>136</v>
      </c>
      <c r="F282" s="147" t="s">
        <v>265</v>
      </c>
      <c r="I282" s="145"/>
      <c r="L282" s="30"/>
      <c r="M282" s="146"/>
      <c r="T282" s="54"/>
      <c r="AT282" s="15" t="s">
        <v>136</v>
      </c>
      <c r="AU282" s="15" t="s">
        <v>90</v>
      </c>
    </row>
    <row r="283" spans="2:65" s="12" customFormat="1" ht="11.25">
      <c r="B283" s="148"/>
      <c r="D283" s="143" t="s">
        <v>138</v>
      </c>
      <c r="E283" s="149" t="s">
        <v>1</v>
      </c>
      <c r="F283" s="150" t="s">
        <v>266</v>
      </c>
      <c r="H283" s="149" t="s">
        <v>1</v>
      </c>
      <c r="I283" s="151"/>
      <c r="L283" s="148"/>
      <c r="M283" s="152"/>
      <c r="T283" s="153"/>
      <c r="AT283" s="149" t="s">
        <v>138</v>
      </c>
      <c r="AU283" s="149" t="s">
        <v>90</v>
      </c>
      <c r="AV283" s="12" t="s">
        <v>88</v>
      </c>
      <c r="AW283" s="12" t="s">
        <v>35</v>
      </c>
      <c r="AX283" s="12" t="s">
        <v>80</v>
      </c>
      <c r="AY283" s="149" t="s">
        <v>126</v>
      </c>
    </row>
    <row r="284" spans="2:65" s="13" customFormat="1" ht="11.25">
      <c r="B284" s="154"/>
      <c r="D284" s="143" t="s">
        <v>138</v>
      </c>
      <c r="E284" s="155" t="s">
        <v>1</v>
      </c>
      <c r="F284" s="156" t="s">
        <v>267</v>
      </c>
      <c r="H284" s="157">
        <v>3</v>
      </c>
      <c r="I284" s="158"/>
      <c r="L284" s="154"/>
      <c r="M284" s="159"/>
      <c r="T284" s="160"/>
      <c r="AT284" s="155" t="s">
        <v>138</v>
      </c>
      <c r="AU284" s="155" t="s">
        <v>90</v>
      </c>
      <c r="AV284" s="13" t="s">
        <v>90</v>
      </c>
      <c r="AW284" s="13" t="s">
        <v>35</v>
      </c>
      <c r="AX284" s="13" t="s">
        <v>88</v>
      </c>
      <c r="AY284" s="155" t="s">
        <v>126</v>
      </c>
    </row>
    <row r="285" spans="2:65" s="1" customFormat="1" ht="16.5" customHeight="1">
      <c r="B285" s="30"/>
      <c r="C285" s="130" t="s">
        <v>268</v>
      </c>
      <c r="D285" s="130" t="s">
        <v>128</v>
      </c>
      <c r="E285" s="131" t="s">
        <v>269</v>
      </c>
      <c r="F285" s="132" t="s">
        <v>270</v>
      </c>
      <c r="G285" s="133" t="s">
        <v>256</v>
      </c>
      <c r="H285" s="134">
        <v>1</v>
      </c>
      <c r="I285" s="135"/>
      <c r="J285" s="136">
        <f>ROUND(I285*H285,2)</f>
        <v>0</v>
      </c>
      <c r="K285" s="132" t="s">
        <v>132</v>
      </c>
      <c r="L285" s="30"/>
      <c r="M285" s="137" t="s">
        <v>1</v>
      </c>
      <c r="N285" s="138" t="s">
        <v>45</v>
      </c>
      <c r="P285" s="139">
        <f>O285*H285</f>
        <v>0</v>
      </c>
      <c r="Q285" s="139">
        <v>0</v>
      </c>
      <c r="R285" s="139">
        <f>Q285*H285</f>
        <v>0</v>
      </c>
      <c r="S285" s="139">
        <v>0</v>
      </c>
      <c r="T285" s="140">
        <f>S285*H285</f>
        <v>0</v>
      </c>
      <c r="AR285" s="141" t="s">
        <v>133</v>
      </c>
      <c r="AT285" s="141" t="s">
        <v>128</v>
      </c>
      <c r="AU285" s="141" t="s">
        <v>90</v>
      </c>
      <c r="AY285" s="15" t="s">
        <v>126</v>
      </c>
      <c r="BE285" s="142">
        <f>IF(N285="základní",J285,0)</f>
        <v>0</v>
      </c>
      <c r="BF285" s="142">
        <f>IF(N285="snížená",J285,0)</f>
        <v>0</v>
      </c>
      <c r="BG285" s="142">
        <f>IF(N285="zákl. přenesená",J285,0)</f>
        <v>0</v>
      </c>
      <c r="BH285" s="142">
        <f>IF(N285="sníž. přenesená",J285,0)</f>
        <v>0</v>
      </c>
      <c r="BI285" s="142">
        <f>IF(N285="nulová",J285,0)</f>
        <v>0</v>
      </c>
      <c r="BJ285" s="15" t="s">
        <v>88</v>
      </c>
      <c r="BK285" s="142">
        <f>ROUND(I285*H285,2)</f>
        <v>0</v>
      </c>
      <c r="BL285" s="15" t="s">
        <v>133</v>
      </c>
      <c r="BM285" s="141" t="s">
        <v>271</v>
      </c>
    </row>
    <row r="286" spans="2:65" s="1" customFormat="1" ht="11.25">
      <c r="B286" s="30"/>
      <c r="D286" s="143" t="s">
        <v>135</v>
      </c>
      <c r="F286" s="144" t="s">
        <v>270</v>
      </c>
      <c r="I286" s="145"/>
      <c r="L286" s="30"/>
      <c r="M286" s="146"/>
      <c r="T286" s="54"/>
      <c r="AT286" s="15" t="s">
        <v>135</v>
      </c>
      <c r="AU286" s="15" t="s">
        <v>90</v>
      </c>
    </row>
    <row r="287" spans="2:65" s="1" customFormat="1" ht="39">
      <c r="B287" s="30"/>
      <c r="D287" s="143" t="s">
        <v>136</v>
      </c>
      <c r="F287" s="147" t="s">
        <v>265</v>
      </c>
      <c r="I287" s="145"/>
      <c r="L287" s="30"/>
      <c r="M287" s="146"/>
      <c r="T287" s="54"/>
      <c r="AT287" s="15" t="s">
        <v>136</v>
      </c>
      <c r="AU287" s="15" t="s">
        <v>90</v>
      </c>
    </row>
    <row r="288" spans="2:65" s="12" customFormat="1" ht="11.25">
      <c r="B288" s="148"/>
      <c r="D288" s="143" t="s">
        <v>138</v>
      </c>
      <c r="E288" s="149" t="s">
        <v>1</v>
      </c>
      <c r="F288" s="150" t="s">
        <v>272</v>
      </c>
      <c r="H288" s="149" t="s">
        <v>1</v>
      </c>
      <c r="I288" s="151"/>
      <c r="L288" s="148"/>
      <c r="M288" s="152"/>
      <c r="T288" s="153"/>
      <c r="AT288" s="149" t="s">
        <v>138</v>
      </c>
      <c r="AU288" s="149" t="s">
        <v>90</v>
      </c>
      <c r="AV288" s="12" t="s">
        <v>88</v>
      </c>
      <c r="AW288" s="12" t="s">
        <v>35</v>
      </c>
      <c r="AX288" s="12" t="s">
        <v>80</v>
      </c>
      <c r="AY288" s="149" t="s">
        <v>126</v>
      </c>
    </row>
    <row r="289" spans="2:65" s="13" customFormat="1" ht="11.25">
      <c r="B289" s="154"/>
      <c r="D289" s="143" t="s">
        <v>138</v>
      </c>
      <c r="E289" s="155" t="s">
        <v>1</v>
      </c>
      <c r="F289" s="156" t="s">
        <v>88</v>
      </c>
      <c r="H289" s="157">
        <v>1</v>
      </c>
      <c r="I289" s="158"/>
      <c r="L289" s="154"/>
      <c r="M289" s="159"/>
      <c r="T289" s="160"/>
      <c r="AT289" s="155" t="s">
        <v>138</v>
      </c>
      <c r="AU289" s="155" t="s">
        <v>90</v>
      </c>
      <c r="AV289" s="13" t="s">
        <v>90</v>
      </c>
      <c r="AW289" s="13" t="s">
        <v>35</v>
      </c>
      <c r="AX289" s="13" t="s">
        <v>88</v>
      </c>
      <c r="AY289" s="155" t="s">
        <v>126</v>
      </c>
    </row>
    <row r="290" spans="2:65" s="11" customFormat="1" ht="22.9" customHeight="1">
      <c r="B290" s="118"/>
      <c r="D290" s="119" t="s">
        <v>79</v>
      </c>
      <c r="E290" s="128" t="s">
        <v>273</v>
      </c>
      <c r="F290" s="128" t="s">
        <v>274</v>
      </c>
      <c r="I290" s="121"/>
      <c r="J290" s="129">
        <f>BK290</f>
        <v>0</v>
      </c>
      <c r="L290" s="118"/>
      <c r="M290" s="123"/>
      <c r="P290" s="124">
        <f>SUM(P291:P317)</f>
        <v>0</v>
      </c>
      <c r="R290" s="124">
        <f>SUM(R291:R317)</f>
        <v>0</v>
      </c>
      <c r="T290" s="125">
        <f>SUM(T291:T317)</f>
        <v>0</v>
      </c>
      <c r="AR290" s="119" t="s">
        <v>88</v>
      </c>
      <c r="AT290" s="126" t="s">
        <v>79</v>
      </c>
      <c r="AU290" s="126" t="s">
        <v>88</v>
      </c>
      <c r="AY290" s="119" t="s">
        <v>126</v>
      </c>
      <c r="BK290" s="127">
        <f>SUM(BK291:BK317)</f>
        <v>0</v>
      </c>
    </row>
    <row r="291" spans="2:65" s="1" customFormat="1" ht="24.2" customHeight="1">
      <c r="B291" s="30"/>
      <c r="C291" s="130" t="s">
        <v>275</v>
      </c>
      <c r="D291" s="130" t="s">
        <v>128</v>
      </c>
      <c r="E291" s="131" t="s">
        <v>276</v>
      </c>
      <c r="F291" s="132" t="s">
        <v>277</v>
      </c>
      <c r="G291" s="133" t="s">
        <v>187</v>
      </c>
      <c r="H291" s="134">
        <v>32</v>
      </c>
      <c r="I291" s="135"/>
      <c r="J291" s="136">
        <f>ROUND(I291*H291,2)</f>
        <v>0</v>
      </c>
      <c r="K291" s="132" t="s">
        <v>132</v>
      </c>
      <c r="L291" s="30"/>
      <c r="M291" s="137" t="s">
        <v>1</v>
      </c>
      <c r="N291" s="138" t="s">
        <v>45</v>
      </c>
      <c r="P291" s="139">
        <f>O291*H291</f>
        <v>0</v>
      </c>
      <c r="Q291" s="139">
        <v>0</v>
      </c>
      <c r="R291" s="139">
        <f>Q291*H291</f>
        <v>0</v>
      </c>
      <c r="S291" s="139">
        <v>0</v>
      </c>
      <c r="T291" s="140">
        <f>S291*H291</f>
        <v>0</v>
      </c>
      <c r="AR291" s="141" t="s">
        <v>133</v>
      </c>
      <c r="AT291" s="141" t="s">
        <v>128</v>
      </c>
      <c r="AU291" s="141" t="s">
        <v>90</v>
      </c>
      <c r="AY291" s="15" t="s">
        <v>126</v>
      </c>
      <c r="BE291" s="142">
        <f>IF(N291="základní",J291,0)</f>
        <v>0</v>
      </c>
      <c r="BF291" s="142">
        <f>IF(N291="snížená",J291,0)</f>
        <v>0</v>
      </c>
      <c r="BG291" s="142">
        <f>IF(N291="zákl. přenesená",J291,0)</f>
        <v>0</v>
      </c>
      <c r="BH291" s="142">
        <f>IF(N291="sníž. přenesená",J291,0)</f>
        <v>0</v>
      </c>
      <c r="BI291" s="142">
        <f>IF(N291="nulová",J291,0)</f>
        <v>0</v>
      </c>
      <c r="BJ291" s="15" t="s">
        <v>88</v>
      </c>
      <c r="BK291" s="142">
        <f>ROUND(I291*H291,2)</f>
        <v>0</v>
      </c>
      <c r="BL291" s="15" t="s">
        <v>133</v>
      </c>
      <c r="BM291" s="141" t="s">
        <v>278</v>
      </c>
    </row>
    <row r="292" spans="2:65" s="1" customFormat="1" ht="19.5">
      <c r="B292" s="30"/>
      <c r="D292" s="143" t="s">
        <v>135</v>
      </c>
      <c r="F292" s="144" t="s">
        <v>277</v>
      </c>
      <c r="I292" s="145"/>
      <c r="L292" s="30"/>
      <c r="M292" s="146"/>
      <c r="T292" s="54"/>
      <c r="AT292" s="15" t="s">
        <v>135</v>
      </c>
      <c r="AU292" s="15" t="s">
        <v>90</v>
      </c>
    </row>
    <row r="293" spans="2:65" s="1" customFormat="1" ht="117">
      <c r="B293" s="30"/>
      <c r="D293" s="143" t="s">
        <v>136</v>
      </c>
      <c r="F293" s="147" t="s">
        <v>279</v>
      </c>
      <c r="I293" s="145"/>
      <c r="L293" s="30"/>
      <c r="M293" s="146"/>
      <c r="T293" s="54"/>
      <c r="AT293" s="15" t="s">
        <v>136</v>
      </c>
      <c r="AU293" s="15" t="s">
        <v>90</v>
      </c>
    </row>
    <row r="294" spans="2:65" s="12" customFormat="1" ht="11.25">
      <c r="B294" s="148"/>
      <c r="D294" s="143" t="s">
        <v>138</v>
      </c>
      <c r="E294" s="149" t="s">
        <v>1</v>
      </c>
      <c r="F294" s="150" t="s">
        <v>280</v>
      </c>
      <c r="H294" s="149" t="s">
        <v>1</v>
      </c>
      <c r="I294" s="151"/>
      <c r="L294" s="148"/>
      <c r="M294" s="152"/>
      <c r="T294" s="153"/>
      <c r="AT294" s="149" t="s">
        <v>138</v>
      </c>
      <c r="AU294" s="149" t="s">
        <v>90</v>
      </c>
      <c r="AV294" s="12" t="s">
        <v>88</v>
      </c>
      <c r="AW294" s="12" t="s">
        <v>35</v>
      </c>
      <c r="AX294" s="12" t="s">
        <v>80</v>
      </c>
      <c r="AY294" s="149" t="s">
        <v>126</v>
      </c>
    </row>
    <row r="295" spans="2:65" s="13" customFormat="1" ht="11.25">
      <c r="B295" s="154"/>
      <c r="D295" s="143" t="s">
        <v>138</v>
      </c>
      <c r="E295" s="155" t="s">
        <v>1</v>
      </c>
      <c r="F295" s="156" t="s">
        <v>261</v>
      </c>
      <c r="H295" s="157">
        <v>32</v>
      </c>
      <c r="I295" s="158"/>
      <c r="L295" s="154"/>
      <c r="M295" s="159"/>
      <c r="T295" s="160"/>
      <c r="AT295" s="155" t="s">
        <v>138</v>
      </c>
      <c r="AU295" s="155" t="s">
        <v>90</v>
      </c>
      <c r="AV295" s="13" t="s">
        <v>90</v>
      </c>
      <c r="AW295" s="13" t="s">
        <v>35</v>
      </c>
      <c r="AX295" s="13" t="s">
        <v>88</v>
      </c>
      <c r="AY295" s="155" t="s">
        <v>126</v>
      </c>
    </row>
    <row r="296" spans="2:65" s="1" customFormat="1" ht="24.2" customHeight="1">
      <c r="B296" s="30"/>
      <c r="C296" s="130" t="s">
        <v>281</v>
      </c>
      <c r="D296" s="130" t="s">
        <v>128</v>
      </c>
      <c r="E296" s="131" t="s">
        <v>282</v>
      </c>
      <c r="F296" s="132" t="s">
        <v>283</v>
      </c>
      <c r="G296" s="133" t="s">
        <v>256</v>
      </c>
      <c r="H296" s="134">
        <v>40</v>
      </c>
      <c r="I296" s="135"/>
      <c r="J296" s="136">
        <f>ROUND(I296*H296,2)</f>
        <v>0</v>
      </c>
      <c r="K296" s="132" t="s">
        <v>132</v>
      </c>
      <c r="L296" s="30"/>
      <c r="M296" s="137" t="s">
        <v>1</v>
      </c>
      <c r="N296" s="138" t="s">
        <v>45</v>
      </c>
      <c r="P296" s="139">
        <f>O296*H296</f>
        <v>0</v>
      </c>
      <c r="Q296" s="139">
        <v>0</v>
      </c>
      <c r="R296" s="139">
        <f>Q296*H296</f>
        <v>0</v>
      </c>
      <c r="S296" s="139">
        <v>0</v>
      </c>
      <c r="T296" s="140">
        <f>S296*H296</f>
        <v>0</v>
      </c>
      <c r="AR296" s="141" t="s">
        <v>133</v>
      </c>
      <c r="AT296" s="141" t="s">
        <v>128</v>
      </c>
      <c r="AU296" s="141" t="s">
        <v>90</v>
      </c>
      <c r="AY296" s="15" t="s">
        <v>126</v>
      </c>
      <c r="BE296" s="142">
        <f>IF(N296="základní",J296,0)</f>
        <v>0</v>
      </c>
      <c r="BF296" s="142">
        <f>IF(N296="snížená",J296,0)</f>
        <v>0</v>
      </c>
      <c r="BG296" s="142">
        <f>IF(N296="zákl. přenesená",J296,0)</f>
        <v>0</v>
      </c>
      <c r="BH296" s="142">
        <f>IF(N296="sníž. přenesená",J296,0)</f>
        <v>0</v>
      </c>
      <c r="BI296" s="142">
        <f>IF(N296="nulová",J296,0)</f>
        <v>0</v>
      </c>
      <c r="BJ296" s="15" t="s">
        <v>88</v>
      </c>
      <c r="BK296" s="142">
        <f>ROUND(I296*H296,2)</f>
        <v>0</v>
      </c>
      <c r="BL296" s="15" t="s">
        <v>133</v>
      </c>
      <c r="BM296" s="141" t="s">
        <v>284</v>
      </c>
    </row>
    <row r="297" spans="2:65" s="1" customFormat="1" ht="19.5">
      <c r="B297" s="30"/>
      <c r="D297" s="143" t="s">
        <v>135</v>
      </c>
      <c r="F297" s="144" t="s">
        <v>283</v>
      </c>
      <c r="I297" s="145"/>
      <c r="L297" s="30"/>
      <c r="M297" s="146"/>
      <c r="T297" s="54"/>
      <c r="AT297" s="15" t="s">
        <v>135</v>
      </c>
      <c r="AU297" s="15" t="s">
        <v>90</v>
      </c>
    </row>
    <row r="298" spans="2:65" s="1" customFormat="1" ht="39">
      <c r="B298" s="30"/>
      <c r="D298" s="143" t="s">
        <v>136</v>
      </c>
      <c r="F298" s="147" t="s">
        <v>285</v>
      </c>
      <c r="I298" s="145"/>
      <c r="L298" s="30"/>
      <c r="M298" s="146"/>
      <c r="T298" s="54"/>
      <c r="AT298" s="15" t="s">
        <v>136</v>
      </c>
      <c r="AU298" s="15" t="s">
        <v>90</v>
      </c>
    </row>
    <row r="299" spans="2:65" s="12" customFormat="1" ht="11.25">
      <c r="B299" s="148"/>
      <c r="D299" s="143" t="s">
        <v>138</v>
      </c>
      <c r="E299" s="149" t="s">
        <v>1</v>
      </c>
      <c r="F299" s="150" t="s">
        <v>286</v>
      </c>
      <c r="H299" s="149" t="s">
        <v>1</v>
      </c>
      <c r="I299" s="151"/>
      <c r="L299" s="148"/>
      <c r="M299" s="152"/>
      <c r="T299" s="153"/>
      <c r="AT299" s="149" t="s">
        <v>138</v>
      </c>
      <c r="AU299" s="149" t="s">
        <v>90</v>
      </c>
      <c r="AV299" s="12" t="s">
        <v>88</v>
      </c>
      <c r="AW299" s="12" t="s">
        <v>35</v>
      </c>
      <c r="AX299" s="12" t="s">
        <v>80</v>
      </c>
      <c r="AY299" s="149" t="s">
        <v>126</v>
      </c>
    </row>
    <row r="300" spans="2:65" s="13" customFormat="1" ht="11.25">
      <c r="B300" s="154"/>
      <c r="D300" s="143" t="s">
        <v>138</v>
      </c>
      <c r="E300" s="155" t="s">
        <v>1</v>
      </c>
      <c r="F300" s="156" t="s">
        <v>224</v>
      </c>
      <c r="H300" s="157">
        <v>40</v>
      </c>
      <c r="I300" s="158"/>
      <c r="L300" s="154"/>
      <c r="M300" s="159"/>
      <c r="T300" s="160"/>
      <c r="AT300" s="155" t="s">
        <v>138</v>
      </c>
      <c r="AU300" s="155" t="s">
        <v>90</v>
      </c>
      <c r="AV300" s="13" t="s">
        <v>90</v>
      </c>
      <c r="AW300" s="13" t="s">
        <v>35</v>
      </c>
      <c r="AX300" s="13" t="s">
        <v>88</v>
      </c>
      <c r="AY300" s="155" t="s">
        <v>126</v>
      </c>
    </row>
    <row r="301" spans="2:65" s="1" customFormat="1" ht="24.2" customHeight="1">
      <c r="B301" s="30"/>
      <c r="C301" s="130" t="s">
        <v>287</v>
      </c>
      <c r="D301" s="130" t="s">
        <v>128</v>
      </c>
      <c r="E301" s="131" t="s">
        <v>288</v>
      </c>
      <c r="F301" s="132" t="s">
        <v>289</v>
      </c>
      <c r="G301" s="133" t="s">
        <v>172</v>
      </c>
      <c r="H301" s="134">
        <v>29.6</v>
      </c>
      <c r="I301" s="135"/>
      <c r="J301" s="136">
        <f>ROUND(I301*H301,2)</f>
        <v>0</v>
      </c>
      <c r="K301" s="132" t="s">
        <v>132</v>
      </c>
      <c r="L301" s="30"/>
      <c r="M301" s="137" t="s">
        <v>1</v>
      </c>
      <c r="N301" s="138" t="s">
        <v>45</v>
      </c>
      <c r="P301" s="139">
        <f>O301*H301</f>
        <v>0</v>
      </c>
      <c r="Q301" s="139">
        <v>0</v>
      </c>
      <c r="R301" s="139">
        <f>Q301*H301</f>
        <v>0</v>
      </c>
      <c r="S301" s="139">
        <v>0</v>
      </c>
      <c r="T301" s="140">
        <f>S301*H301</f>
        <v>0</v>
      </c>
      <c r="AR301" s="141" t="s">
        <v>133</v>
      </c>
      <c r="AT301" s="141" t="s">
        <v>128</v>
      </c>
      <c r="AU301" s="141" t="s">
        <v>90</v>
      </c>
      <c r="AY301" s="15" t="s">
        <v>126</v>
      </c>
      <c r="BE301" s="142">
        <f>IF(N301="základní",J301,0)</f>
        <v>0</v>
      </c>
      <c r="BF301" s="142">
        <f>IF(N301="snížená",J301,0)</f>
        <v>0</v>
      </c>
      <c r="BG301" s="142">
        <f>IF(N301="zákl. přenesená",J301,0)</f>
        <v>0</v>
      </c>
      <c r="BH301" s="142">
        <f>IF(N301="sníž. přenesená",J301,0)</f>
        <v>0</v>
      </c>
      <c r="BI301" s="142">
        <f>IF(N301="nulová",J301,0)</f>
        <v>0</v>
      </c>
      <c r="BJ301" s="15" t="s">
        <v>88</v>
      </c>
      <c r="BK301" s="142">
        <f>ROUND(I301*H301,2)</f>
        <v>0</v>
      </c>
      <c r="BL301" s="15" t="s">
        <v>133</v>
      </c>
      <c r="BM301" s="141" t="s">
        <v>290</v>
      </c>
    </row>
    <row r="302" spans="2:65" s="1" customFormat="1" ht="19.5">
      <c r="B302" s="30"/>
      <c r="D302" s="143" t="s">
        <v>135</v>
      </c>
      <c r="F302" s="144" t="s">
        <v>289</v>
      </c>
      <c r="I302" s="145"/>
      <c r="L302" s="30"/>
      <c r="M302" s="146"/>
      <c r="T302" s="54"/>
      <c r="AT302" s="15" t="s">
        <v>135</v>
      </c>
      <c r="AU302" s="15" t="s">
        <v>90</v>
      </c>
    </row>
    <row r="303" spans="2:65" s="1" customFormat="1" ht="39">
      <c r="B303" s="30"/>
      <c r="D303" s="143" t="s">
        <v>136</v>
      </c>
      <c r="F303" s="147" t="s">
        <v>291</v>
      </c>
      <c r="I303" s="145"/>
      <c r="L303" s="30"/>
      <c r="M303" s="146"/>
      <c r="T303" s="54"/>
      <c r="AT303" s="15" t="s">
        <v>136</v>
      </c>
      <c r="AU303" s="15" t="s">
        <v>90</v>
      </c>
    </row>
    <row r="304" spans="2:65" s="12" customFormat="1" ht="11.25">
      <c r="B304" s="148"/>
      <c r="D304" s="143" t="s">
        <v>138</v>
      </c>
      <c r="E304" s="149" t="s">
        <v>1</v>
      </c>
      <c r="F304" s="150" t="s">
        <v>292</v>
      </c>
      <c r="H304" s="149" t="s">
        <v>1</v>
      </c>
      <c r="I304" s="151"/>
      <c r="L304" s="148"/>
      <c r="M304" s="152"/>
      <c r="T304" s="153"/>
      <c r="AT304" s="149" t="s">
        <v>138</v>
      </c>
      <c r="AU304" s="149" t="s">
        <v>90</v>
      </c>
      <c r="AV304" s="12" t="s">
        <v>88</v>
      </c>
      <c r="AW304" s="12" t="s">
        <v>35</v>
      </c>
      <c r="AX304" s="12" t="s">
        <v>80</v>
      </c>
      <c r="AY304" s="149" t="s">
        <v>126</v>
      </c>
    </row>
    <row r="305" spans="2:65" s="12" customFormat="1" ht="11.25">
      <c r="B305" s="148"/>
      <c r="D305" s="143" t="s">
        <v>138</v>
      </c>
      <c r="E305" s="149" t="s">
        <v>1</v>
      </c>
      <c r="F305" s="150" t="s">
        <v>293</v>
      </c>
      <c r="H305" s="149" t="s">
        <v>1</v>
      </c>
      <c r="I305" s="151"/>
      <c r="L305" s="148"/>
      <c r="M305" s="152"/>
      <c r="T305" s="153"/>
      <c r="AT305" s="149" t="s">
        <v>138</v>
      </c>
      <c r="AU305" s="149" t="s">
        <v>90</v>
      </c>
      <c r="AV305" s="12" t="s">
        <v>88</v>
      </c>
      <c r="AW305" s="12" t="s">
        <v>35</v>
      </c>
      <c r="AX305" s="12" t="s">
        <v>80</v>
      </c>
      <c r="AY305" s="149" t="s">
        <v>126</v>
      </c>
    </row>
    <row r="306" spans="2:65" s="12" customFormat="1" ht="11.25">
      <c r="B306" s="148"/>
      <c r="D306" s="143" t="s">
        <v>138</v>
      </c>
      <c r="E306" s="149" t="s">
        <v>1</v>
      </c>
      <c r="F306" s="150" t="s">
        <v>294</v>
      </c>
      <c r="H306" s="149" t="s">
        <v>1</v>
      </c>
      <c r="I306" s="151"/>
      <c r="L306" s="148"/>
      <c r="M306" s="152"/>
      <c r="T306" s="153"/>
      <c r="AT306" s="149" t="s">
        <v>138</v>
      </c>
      <c r="AU306" s="149" t="s">
        <v>90</v>
      </c>
      <c r="AV306" s="12" t="s">
        <v>88</v>
      </c>
      <c r="AW306" s="12" t="s">
        <v>35</v>
      </c>
      <c r="AX306" s="12" t="s">
        <v>80</v>
      </c>
      <c r="AY306" s="149" t="s">
        <v>126</v>
      </c>
    </row>
    <row r="307" spans="2:65" s="12" customFormat="1" ht="11.25">
      <c r="B307" s="148"/>
      <c r="D307" s="143" t="s">
        <v>138</v>
      </c>
      <c r="E307" s="149" t="s">
        <v>1</v>
      </c>
      <c r="F307" s="150" t="s">
        <v>295</v>
      </c>
      <c r="H307" s="149" t="s">
        <v>1</v>
      </c>
      <c r="I307" s="151"/>
      <c r="L307" s="148"/>
      <c r="M307" s="152"/>
      <c r="T307" s="153"/>
      <c r="AT307" s="149" t="s">
        <v>138</v>
      </c>
      <c r="AU307" s="149" t="s">
        <v>90</v>
      </c>
      <c r="AV307" s="12" t="s">
        <v>88</v>
      </c>
      <c r="AW307" s="12" t="s">
        <v>35</v>
      </c>
      <c r="AX307" s="12" t="s">
        <v>80</v>
      </c>
      <c r="AY307" s="149" t="s">
        <v>126</v>
      </c>
    </row>
    <row r="308" spans="2:65" s="12" customFormat="1" ht="11.25">
      <c r="B308" s="148"/>
      <c r="D308" s="143" t="s">
        <v>138</v>
      </c>
      <c r="E308" s="149" t="s">
        <v>1</v>
      </c>
      <c r="F308" s="150" t="s">
        <v>293</v>
      </c>
      <c r="H308" s="149" t="s">
        <v>1</v>
      </c>
      <c r="I308" s="151"/>
      <c r="L308" s="148"/>
      <c r="M308" s="152"/>
      <c r="T308" s="153"/>
      <c r="AT308" s="149" t="s">
        <v>138</v>
      </c>
      <c r="AU308" s="149" t="s">
        <v>90</v>
      </c>
      <c r="AV308" s="12" t="s">
        <v>88</v>
      </c>
      <c r="AW308" s="12" t="s">
        <v>35</v>
      </c>
      <c r="AX308" s="12" t="s">
        <v>80</v>
      </c>
      <c r="AY308" s="149" t="s">
        <v>126</v>
      </c>
    </row>
    <row r="309" spans="2:65" s="12" customFormat="1" ht="11.25">
      <c r="B309" s="148"/>
      <c r="D309" s="143" t="s">
        <v>138</v>
      </c>
      <c r="E309" s="149" t="s">
        <v>1</v>
      </c>
      <c r="F309" s="150" t="s">
        <v>296</v>
      </c>
      <c r="H309" s="149" t="s">
        <v>1</v>
      </c>
      <c r="I309" s="151"/>
      <c r="L309" s="148"/>
      <c r="M309" s="152"/>
      <c r="T309" s="153"/>
      <c r="AT309" s="149" t="s">
        <v>138</v>
      </c>
      <c r="AU309" s="149" t="s">
        <v>90</v>
      </c>
      <c r="AV309" s="12" t="s">
        <v>88</v>
      </c>
      <c r="AW309" s="12" t="s">
        <v>35</v>
      </c>
      <c r="AX309" s="12" t="s">
        <v>80</v>
      </c>
      <c r="AY309" s="149" t="s">
        <v>126</v>
      </c>
    </row>
    <row r="310" spans="2:65" s="12" customFormat="1" ht="11.25">
      <c r="B310" s="148"/>
      <c r="D310" s="143" t="s">
        <v>138</v>
      </c>
      <c r="E310" s="149" t="s">
        <v>1</v>
      </c>
      <c r="F310" s="150" t="s">
        <v>297</v>
      </c>
      <c r="H310" s="149" t="s">
        <v>1</v>
      </c>
      <c r="I310" s="151"/>
      <c r="L310" s="148"/>
      <c r="M310" s="152"/>
      <c r="T310" s="153"/>
      <c r="AT310" s="149" t="s">
        <v>138</v>
      </c>
      <c r="AU310" s="149" t="s">
        <v>90</v>
      </c>
      <c r="AV310" s="12" t="s">
        <v>88</v>
      </c>
      <c r="AW310" s="12" t="s">
        <v>35</v>
      </c>
      <c r="AX310" s="12" t="s">
        <v>80</v>
      </c>
      <c r="AY310" s="149" t="s">
        <v>126</v>
      </c>
    </row>
    <row r="311" spans="2:65" s="13" customFormat="1" ht="11.25">
      <c r="B311" s="154"/>
      <c r="D311" s="143" t="s">
        <v>138</v>
      </c>
      <c r="E311" s="155" t="s">
        <v>1</v>
      </c>
      <c r="F311" s="156" t="s">
        <v>298</v>
      </c>
      <c r="H311" s="157">
        <v>29.6</v>
      </c>
      <c r="I311" s="158"/>
      <c r="L311" s="154"/>
      <c r="M311" s="159"/>
      <c r="T311" s="160"/>
      <c r="AT311" s="155" t="s">
        <v>138</v>
      </c>
      <c r="AU311" s="155" t="s">
        <v>90</v>
      </c>
      <c r="AV311" s="13" t="s">
        <v>90</v>
      </c>
      <c r="AW311" s="13" t="s">
        <v>35</v>
      </c>
      <c r="AX311" s="13" t="s">
        <v>88</v>
      </c>
      <c r="AY311" s="155" t="s">
        <v>126</v>
      </c>
    </row>
    <row r="312" spans="2:65" s="1" customFormat="1" ht="37.9" customHeight="1">
      <c r="B312" s="30"/>
      <c r="C312" s="130" t="s">
        <v>299</v>
      </c>
      <c r="D312" s="130" t="s">
        <v>128</v>
      </c>
      <c r="E312" s="131" t="s">
        <v>300</v>
      </c>
      <c r="F312" s="132" t="s">
        <v>301</v>
      </c>
      <c r="G312" s="133" t="s">
        <v>187</v>
      </c>
      <c r="H312" s="134">
        <v>4266</v>
      </c>
      <c r="I312" s="135"/>
      <c r="J312" s="136">
        <f>ROUND(I312*H312,2)</f>
        <v>0</v>
      </c>
      <c r="K312" s="132" t="s">
        <v>132</v>
      </c>
      <c r="L312" s="30"/>
      <c r="M312" s="137" t="s">
        <v>1</v>
      </c>
      <c r="N312" s="138" t="s">
        <v>45</v>
      </c>
      <c r="P312" s="139">
        <f>O312*H312</f>
        <v>0</v>
      </c>
      <c r="Q312" s="139">
        <v>0</v>
      </c>
      <c r="R312" s="139">
        <f>Q312*H312</f>
        <v>0</v>
      </c>
      <c r="S312" s="139">
        <v>0</v>
      </c>
      <c r="T312" s="140">
        <f>S312*H312</f>
        <v>0</v>
      </c>
      <c r="AR312" s="141" t="s">
        <v>133</v>
      </c>
      <c r="AT312" s="141" t="s">
        <v>128</v>
      </c>
      <c r="AU312" s="141" t="s">
        <v>90</v>
      </c>
      <c r="AY312" s="15" t="s">
        <v>126</v>
      </c>
      <c r="BE312" s="142">
        <f>IF(N312="základní",J312,0)</f>
        <v>0</v>
      </c>
      <c r="BF312" s="142">
        <f>IF(N312="snížená",J312,0)</f>
        <v>0</v>
      </c>
      <c r="BG312" s="142">
        <f>IF(N312="zákl. přenesená",J312,0)</f>
        <v>0</v>
      </c>
      <c r="BH312" s="142">
        <f>IF(N312="sníž. přenesená",J312,0)</f>
        <v>0</v>
      </c>
      <c r="BI312" s="142">
        <f>IF(N312="nulová",J312,0)</f>
        <v>0</v>
      </c>
      <c r="BJ312" s="15" t="s">
        <v>88</v>
      </c>
      <c r="BK312" s="142">
        <f>ROUND(I312*H312,2)</f>
        <v>0</v>
      </c>
      <c r="BL312" s="15" t="s">
        <v>133</v>
      </c>
      <c r="BM312" s="141" t="s">
        <v>302</v>
      </c>
    </row>
    <row r="313" spans="2:65" s="1" customFormat="1" ht="39">
      <c r="B313" s="30"/>
      <c r="D313" s="143" t="s">
        <v>135</v>
      </c>
      <c r="F313" s="144" t="s">
        <v>303</v>
      </c>
      <c r="I313" s="145"/>
      <c r="L313" s="30"/>
      <c r="M313" s="146"/>
      <c r="T313" s="54"/>
      <c r="AT313" s="15" t="s">
        <v>135</v>
      </c>
      <c r="AU313" s="15" t="s">
        <v>90</v>
      </c>
    </row>
    <row r="314" spans="2:65" s="12" customFormat="1" ht="11.25">
      <c r="B314" s="148"/>
      <c r="D314" s="143" t="s">
        <v>138</v>
      </c>
      <c r="E314" s="149" t="s">
        <v>1</v>
      </c>
      <c r="F314" s="150" t="s">
        <v>304</v>
      </c>
      <c r="H314" s="149" t="s">
        <v>1</v>
      </c>
      <c r="I314" s="151"/>
      <c r="L314" s="148"/>
      <c r="M314" s="152"/>
      <c r="T314" s="153"/>
      <c r="AT314" s="149" t="s">
        <v>138</v>
      </c>
      <c r="AU314" s="149" t="s">
        <v>90</v>
      </c>
      <c r="AV314" s="12" t="s">
        <v>88</v>
      </c>
      <c r="AW314" s="12" t="s">
        <v>35</v>
      </c>
      <c r="AX314" s="12" t="s">
        <v>80</v>
      </c>
      <c r="AY314" s="149" t="s">
        <v>126</v>
      </c>
    </row>
    <row r="315" spans="2:65" s="12" customFormat="1" ht="11.25">
      <c r="B315" s="148"/>
      <c r="D315" s="143" t="s">
        <v>138</v>
      </c>
      <c r="E315" s="149" t="s">
        <v>1</v>
      </c>
      <c r="F315" s="150" t="s">
        <v>141</v>
      </c>
      <c r="H315" s="149" t="s">
        <v>1</v>
      </c>
      <c r="I315" s="151"/>
      <c r="L315" s="148"/>
      <c r="M315" s="152"/>
      <c r="T315" s="153"/>
      <c r="AT315" s="149" t="s">
        <v>138</v>
      </c>
      <c r="AU315" s="149" t="s">
        <v>90</v>
      </c>
      <c r="AV315" s="12" t="s">
        <v>88</v>
      </c>
      <c r="AW315" s="12" t="s">
        <v>35</v>
      </c>
      <c r="AX315" s="12" t="s">
        <v>80</v>
      </c>
      <c r="AY315" s="149" t="s">
        <v>126</v>
      </c>
    </row>
    <row r="316" spans="2:65" s="12" customFormat="1" ht="11.25">
      <c r="B316" s="148"/>
      <c r="D316" s="143" t="s">
        <v>138</v>
      </c>
      <c r="E316" s="149" t="s">
        <v>1</v>
      </c>
      <c r="F316" s="150" t="s">
        <v>266</v>
      </c>
      <c r="H316" s="149" t="s">
        <v>1</v>
      </c>
      <c r="I316" s="151"/>
      <c r="L316" s="148"/>
      <c r="M316" s="152"/>
      <c r="T316" s="153"/>
      <c r="AT316" s="149" t="s">
        <v>138</v>
      </c>
      <c r="AU316" s="149" t="s">
        <v>90</v>
      </c>
      <c r="AV316" s="12" t="s">
        <v>88</v>
      </c>
      <c r="AW316" s="12" t="s">
        <v>35</v>
      </c>
      <c r="AX316" s="12" t="s">
        <v>80</v>
      </c>
      <c r="AY316" s="149" t="s">
        <v>126</v>
      </c>
    </row>
    <row r="317" spans="2:65" s="13" customFormat="1" ht="11.25">
      <c r="B317" s="154"/>
      <c r="D317" s="143" t="s">
        <v>138</v>
      </c>
      <c r="E317" s="155" t="s">
        <v>1</v>
      </c>
      <c r="F317" s="156" t="s">
        <v>305</v>
      </c>
      <c r="H317" s="157">
        <v>4266</v>
      </c>
      <c r="I317" s="158"/>
      <c r="L317" s="154"/>
      <c r="M317" s="159"/>
      <c r="T317" s="160"/>
      <c r="AT317" s="155" t="s">
        <v>138</v>
      </c>
      <c r="AU317" s="155" t="s">
        <v>90</v>
      </c>
      <c r="AV317" s="13" t="s">
        <v>90</v>
      </c>
      <c r="AW317" s="13" t="s">
        <v>35</v>
      </c>
      <c r="AX317" s="13" t="s">
        <v>88</v>
      </c>
      <c r="AY317" s="155" t="s">
        <v>126</v>
      </c>
    </row>
    <row r="318" spans="2:65" s="11" customFormat="1" ht="25.9" customHeight="1">
      <c r="B318" s="118"/>
      <c r="D318" s="119" t="s">
        <v>79</v>
      </c>
      <c r="E318" s="120" t="s">
        <v>306</v>
      </c>
      <c r="F318" s="120" t="s">
        <v>307</v>
      </c>
      <c r="I318" s="121"/>
      <c r="J318" s="122">
        <f>BK318</f>
        <v>0</v>
      </c>
      <c r="L318" s="118"/>
      <c r="M318" s="123"/>
      <c r="P318" s="124">
        <f>SUM(P319:P329)</f>
        <v>0</v>
      </c>
      <c r="R318" s="124">
        <f>SUM(R319:R329)</f>
        <v>0</v>
      </c>
      <c r="T318" s="125">
        <f>SUM(T319:T329)</f>
        <v>0</v>
      </c>
      <c r="AR318" s="119" t="s">
        <v>133</v>
      </c>
      <c r="AT318" s="126" t="s">
        <v>79</v>
      </c>
      <c r="AU318" s="126" t="s">
        <v>80</v>
      </c>
      <c r="AY318" s="119" t="s">
        <v>126</v>
      </c>
      <c r="BK318" s="127">
        <f>SUM(BK319:BK329)</f>
        <v>0</v>
      </c>
    </row>
    <row r="319" spans="2:65" s="1" customFormat="1" ht="24.2" customHeight="1">
      <c r="B319" s="30"/>
      <c r="C319" s="130" t="s">
        <v>308</v>
      </c>
      <c r="D319" s="130" t="s">
        <v>128</v>
      </c>
      <c r="E319" s="131" t="s">
        <v>309</v>
      </c>
      <c r="F319" s="132" t="s">
        <v>310</v>
      </c>
      <c r="G319" s="133" t="s">
        <v>161</v>
      </c>
      <c r="H319" s="134">
        <v>849.15</v>
      </c>
      <c r="I319" s="135"/>
      <c r="J319" s="136">
        <f>ROUND(I319*H319,2)</f>
        <v>0</v>
      </c>
      <c r="K319" s="132" t="s">
        <v>132</v>
      </c>
      <c r="L319" s="30"/>
      <c r="M319" s="137" t="s">
        <v>1</v>
      </c>
      <c r="N319" s="138" t="s">
        <v>45</v>
      </c>
      <c r="P319" s="139">
        <f>O319*H319</f>
        <v>0</v>
      </c>
      <c r="Q319" s="139">
        <v>0</v>
      </c>
      <c r="R319" s="139">
        <f>Q319*H319</f>
        <v>0</v>
      </c>
      <c r="S319" s="139">
        <v>0</v>
      </c>
      <c r="T319" s="140">
        <f>S319*H319</f>
        <v>0</v>
      </c>
      <c r="AR319" s="141" t="s">
        <v>311</v>
      </c>
      <c r="AT319" s="141" t="s">
        <v>128</v>
      </c>
      <c r="AU319" s="141" t="s">
        <v>88</v>
      </c>
      <c r="AY319" s="15" t="s">
        <v>126</v>
      </c>
      <c r="BE319" s="142">
        <f>IF(N319="základní",J319,0)</f>
        <v>0</v>
      </c>
      <c r="BF319" s="142">
        <f>IF(N319="snížená",J319,0)</f>
        <v>0</v>
      </c>
      <c r="BG319" s="142">
        <f>IF(N319="zákl. přenesená",J319,0)</f>
        <v>0</v>
      </c>
      <c r="BH319" s="142">
        <f>IF(N319="sníž. přenesená",J319,0)</f>
        <v>0</v>
      </c>
      <c r="BI319" s="142">
        <f>IF(N319="nulová",J319,0)</f>
        <v>0</v>
      </c>
      <c r="BJ319" s="15" t="s">
        <v>88</v>
      </c>
      <c r="BK319" s="142">
        <f>ROUND(I319*H319,2)</f>
        <v>0</v>
      </c>
      <c r="BL319" s="15" t="s">
        <v>311</v>
      </c>
      <c r="BM319" s="141" t="s">
        <v>312</v>
      </c>
    </row>
    <row r="320" spans="2:65" s="1" customFormat="1" ht="11.25">
      <c r="B320" s="30"/>
      <c r="D320" s="143" t="s">
        <v>135</v>
      </c>
      <c r="F320" s="144" t="s">
        <v>310</v>
      </c>
      <c r="I320" s="145"/>
      <c r="L320" s="30"/>
      <c r="M320" s="146"/>
      <c r="T320" s="54"/>
      <c r="AT320" s="15" t="s">
        <v>135</v>
      </c>
      <c r="AU320" s="15" t="s">
        <v>88</v>
      </c>
    </row>
    <row r="321" spans="2:51" s="1" customFormat="1" ht="29.25">
      <c r="B321" s="30"/>
      <c r="D321" s="143" t="s">
        <v>136</v>
      </c>
      <c r="F321" s="147" t="s">
        <v>313</v>
      </c>
      <c r="I321" s="145"/>
      <c r="L321" s="30"/>
      <c r="M321" s="146"/>
      <c r="T321" s="54"/>
      <c r="AT321" s="15" t="s">
        <v>136</v>
      </c>
      <c r="AU321" s="15" t="s">
        <v>88</v>
      </c>
    </row>
    <row r="322" spans="2:51" s="12" customFormat="1" ht="11.25">
      <c r="B322" s="148"/>
      <c r="D322" s="143" t="s">
        <v>138</v>
      </c>
      <c r="E322" s="149" t="s">
        <v>1</v>
      </c>
      <c r="F322" s="150" t="s">
        <v>314</v>
      </c>
      <c r="H322" s="149" t="s">
        <v>1</v>
      </c>
      <c r="I322" s="151"/>
      <c r="L322" s="148"/>
      <c r="M322" s="152"/>
      <c r="T322" s="153"/>
      <c r="AT322" s="149" t="s">
        <v>138</v>
      </c>
      <c r="AU322" s="149" t="s">
        <v>88</v>
      </c>
      <c r="AV322" s="12" t="s">
        <v>88</v>
      </c>
      <c r="AW322" s="12" t="s">
        <v>35</v>
      </c>
      <c r="AX322" s="12" t="s">
        <v>80</v>
      </c>
      <c r="AY322" s="149" t="s">
        <v>126</v>
      </c>
    </row>
    <row r="323" spans="2:51" s="12" customFormat="1" ht="11.25">
      <c r="B323" s="148"/>
      <c r="D323" s="143" t="s">
        <v>138</v>
      </c>
      <c r="E323" s="149" t="s">
        <v>1</v>
      </c>
      <c r="F323" s="150" t="s">
        <v>315</v>
      </c>
      <c r="H323" s="149" t="s">
        <v>1</v>
      </c>
      <c r="I323" s="151"/>
      <c r="L323" s="148"/>
      <c r="M323" s="152"/>
      <c r="T323" s="153"/>
      <c r="AT323" s="149" t="s">
        <v>138</v>
      </c>
      <c r="AU323" s="149" t="s">
        <v>88</v>
      </c>
      <c r="AV323" s="12" t="s">
        <v>88</v>
      </c>
      <c r="AW323" s="12" t="s">
        <v>35</v>
      </c>
      <c r="AX323" s="12" t="s">
        <v>80</v>
      </c>
      <c r="AY323" s="149" t="s">
        <v>126</v>
      </c>
    </row>
    <row r="324" spans="2:51" s="12" customFormat="1" ht="11.25">
      <c r="B324" s="148"/>
      <c r="D324" s="143" t="s">
        <v>138</v>
      </c>
      <c r="E324" s="149" t="s">
        <v>1</v>
      </c>
      <c r="F324" s="150" t="s">
        <v>156</v>
      </c>
      <c r="H324" s="149" t="s">
        <v>1</v>
      </c>
      <c r="I324" s="151"/>
      <c r="L324" s="148"/>
      <c r="M324" s="152"/>
      <c r="T324" s="153"/>
      <c r="AT324" s="149" t="s">
        <v>138</v>
      </c>
      <c r="AU324" s="149" t="s">
        <v>88</v>
      </c>
      <c r="AV324" s="12" t="s">
        <v>88</v>
      </c>
      <c r="AW324" s="12" t="s">
        <v>35</v>
      </c>
      <c r="AX324" s="12" t="s">
        <v>80</v>
      </c>
      <c r="AY324" s="149" t="s">
        <v>126</v>
      </c>
    </row>
    <row r="325" spans="2:51" s="12" customFormat="1" ht="11.25">
      <c r="B325" s="148"/>
      <c r="D325" s="143" t="s">
        <v>138</v>
      </c>
      <c r="E325" s="149" t="s">
        <v>1</v>
      </c>
      <c r="F325" s="150" t="s">
        <v>316</v>
      </c>
      <c r="H325" s="149" t="s">
        <v>1</v>
      </c>
      <c r="I325" s="151"/>
      <c r="L325" s="148"/>
      <c r="M325" s="152"/>
      <c r="T325" s="153"/>
      <c r="AT325" s="149" t="s">
        <v>138</v>
      </c>
      <c r="AU325" s="149" t="s">
        <v>88</v>
      </c>
      <c r="AV325" s="12" t="s">
        <v>88</v>
      </c>
      <c r="AW325" s="12" t="s">
        <v>35</v>
      </c>
      <c r="AX325" s="12" t="s">
        <v>80</v>
      </c>
      <c r="AY325" s="149" t="s">
        <v>126</v>
      </c>
    </row>
    <row r="326" spans="2:51" s="12" customFormat="1" ht="11.25">
      <c r="B326" s="148"/>
      <c r="D326" s="143" t="s">
        <v>138</v>
      </c>
      <c r="E326" s="149" t="s">
        <v>1</v>
      </c>
      <c r="F326" s="150" t="s">
        <v>190</v>
      </c>
      <c r="H326" s="149" t="s">
        <v>1</v>
      </c>
      <c r="I326" s="151"/>
      <c r="L326" s="148"/>
      <c r="M326" s="152"/>
      <c r="T326" s="153"/>
      <c r="AT326" s="149" t="s">
        <v>138</v>
      </c>
      <c r="AU326" s="149" t="s">
        <v>88</v>
      </c>
      <c r="AV326" s="12" t="s">
        <v>88</v>
      </c>
      <c r="AW326" s="12" t="s">
        <v>35</v>
      </c>
      <c r="AX326" s="12" t="s">
        <v>80</v>
      </c>
      <c r="AY326" s="149" t="s">
        <v>126</v>
      </c>
    </row>
    <row r="327" spans="2:51" s="12" customFormat="1" ht="11.25">
      <c r="B327" s="148"/>
      <c r="D327" s="143" t="s">
        <v>138</v>
      </c>
      <c r="E327" s="149" t="s">
        <v>1</v>
      </c>
      <c r="F327" s="150" t="s">
        <v>317</v>
      </c>
      <c r="H327" s="149" t="s">
        <v>1</v>
      </c>
      <c r="I327" s="151"/>
      <c r="L327" s="148"/>
      <c r="M327" s="152"/>
      <c r="T327" s="153"/>
      <c r="AT327" s="149" t="s">
        <v>138</v>
      </c>
      <c r="AU327" s="149" t="s">
        <v>88</v>
      </c>
      <c r="AV327" s="12" t="s">
        <v>88</v>
      </c>
      <c r="AW327" s="12" t="s">
        <v>35</v>
      </c>
      <c r="AX327" s="12" t="s">
        <v>80</v>
      </c>
      <c r="AY327" s="149" t="s">
        <v>126</v>
      </c>
    </row>
    <row r="328" spans="2:51" s="12" customFormat="1" ht="11.25">
      <c r="B328" s="148"/>
      <c r="D328" s="143" t="s">
        <v>138</v>
      </c>
      <c r="E328" s="149" t="s">
        <v>1</v>
      </c>
      <c r="F328" s="150" t="s">
        <v>316</v>
      </c>
      <c r="H328" s="149" t="s">
        <v>1</v>
      </c>
      <c r="I328" s="151"/>
      <c r="L328" s="148"/>
      <c r="M328" s="152"/>
      <c r="T328" s="153"/>
      <c r="AT328" s="149" t="s">
        <v>138</v>
      </c>
      <c r="AU328" s="149" t="s">
        <v>88</v>
      </c>
      <c r="AV328" s="12" t="s">
        <v>88</v>
      </c>
      <c r="AW328" s="12" t="s">
        <v>35</v>
      </c>
      <c r="AX328" s="12" t="s">
        <v>80</v>
      </c>
      <c r="AY328" s="149" t="s">
        <v>126</v>
      </c>
    </row>
    <row r="329" spans="2:51" s="13" customFormat="1" ht="11.25">
      <c r="B329" s="154"/>
      <c r="D329" s="143" t="s">
        <v>138</v>
      </c>
      <c r="E329" s="155" t="s">
        <v>1</v>
      </c>
      <c r="F329" s="156" t="s">
        <v>318</v>
      </c>
      <c r="H329" s="157">
        <v>849.15</v>
      </c>
      <c r="I329" s="158"/>
      <c r="L329" s="154"/>
      <c r="M329" s="161"/>
      <c r="N329" s="162"/>
      <c r="O329" s="162"/>
      <c r="P329" s="162"/>
      <c r="Q329" s="162"/>
      <c r="R329" s="162"/>
      <c r="S329" s="162"/>
      <c r="T329" s="163"/>
      <c r="AT329" s="155" t="s">
        <v>138</v>
      </c>
      <c r="AU329" s="155" t="s">
        <v>88</v>
      </c>
      <c r="AV329" s="13" t="s">
        <v>90</v>
      </c>
      <c r="AW329" s="13" t="s">
        <v>35</v>
      </c>
      <c r="AX329" s="13" t="s">
        <v>88</v>
      </c>
      <c r="AY329" s="155" t="s">
        <v>126</v>
      </c>
    </row>
    <row r="330" spans="2:51" s="1" customFormat="1" ht="6.95" customHeight="1">
      <c r="B330" s="42"/>
      <c r="C330" s="43"/>
      <c r="D330" s="43"/>
      <c r="E330" s="43"/>
      <c r="F330" s="43"/>
      <c r="G330" s="43"/>
      <c r="H330" s="43"/>
      <c r="I330" s="43"/>
      <c r="J330" s="43"/>
      <c r="K330" s="43"/>
      <c r="L330" s="30"/>
    </row>
  </sheetData>
  <sheetProtection algorithmName="SHA-512" hashValue="k2vjyvYKtqQNJjAc+JUzgmAHFHiX/tJPESk/bfi4z75CG5VOAv5aRbNT6X8+33e5VLggY0ilp0k3+DNg1NLLgw==" saltValue="TrCC4Qfm7EClCIKDgL546Z21KXxowaDVw48/P4pCmvmA9dGg/fV/EGRjFZDWVzH5w3W1kBW8sDxm/x4MI7/F5g==" spinCount="100000" sheet="1" objects="1" scenarios="1" formatColumns="0" formatRows="0" autoFilter="0"/>
  <autoFilter ref="C121:K329" xr:uid="{00000000-0009-0000-0000-000001000000}"/>
  <mergeCells count="9">
    <mergeCell ref="E87:H87"/>
    <mergeCell ref="E112:H112"/>
    <mergeCell ref="E114:H114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BM228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5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AT2" s="15" t="s">
        <v>93</v>
      </c>
    </row>
    <row r="3" spans="2:46" ht="6.95" customHeight="1">
      <c r="B3" s="16"/>
      <c r="C3" s="17"/>
      <c r="D3" s="17"/>
      <c r="E3" s="17"/>
      <c r="F3" s="17"/>
      <c r="G3" s="17"/>
      <c r="H3" s="17"/>
      <c r="I3" s="17"/>
      <c r="J3" s="17"/>
      <c r="K3" s="17"/>
      <c r="L3" s="18"/>
      <c r="AT3" s="15" t="s">
        <v>90</v>
      </c>
    </row>
    <row r="4" spans="2:46" ht="24.95" customHeight="1">
      <c r="B4" s="18"/>
      <c r="D4" s="19" t="s">
        <v>97</v>
      </c>
      <c r="L4" s="18"/>
      <c r="M4" s="86" t="s">
        <v>10</v>
      </c>
      <c r="AT4" s="15" t="s">
        <v>4</v>
      </c>
    </row>
    <row r="5" spans="2:46" ht="6.95" customHeight="1">
      <c r="B5" s="18"/>
      <c r="L5" s="18"/>
    </row>
    <row r="6" spans="2:46" ht="12" customHeight="1">
      <c r="B6" s="18"/>
      <c r="D6" s="25" t="s">
        <v>16</v>
      </c>
      <c r="L6" s="18"/>
    </row>
    <row r="7" spans="2:46" ht="16.5" customHeight="1">
      <c r="B7" s="18"/>
      <c r="E7" s="202" t="str">
        <f>'Rekapitulace stavby'!K6</f>
        <v>Oprava silnice II/634 Rudolfov-Klauda</v>
      </c>
      <c r="F7" s="203"/>
      <c r="G7" s="203"/>
      <c r="H7" s="203"/>
      <c r="L7" s="18"/>
    </row>
    <row r="8" spans="2:46" s="1" customFormat="1" ht="12" customHeight="1">
      <c r="B8" s="30"/>
      <c r="D8" s="25" t="s">
        <v>98</v>
      </c>
      <c r="L8" s="30"/>
    </row>
    <row r="9" spans="2:46" s="1" customFormat="1" ht="16.5" customHeight="1">
      <c r="B9" s="30"/>
      <c r="E9" s="183" t="s">
        <v>319</v>
      </c>
      <c r="F9" s="204"/>
      <c r="G9" s="204"/>
      <c r="H9" s="204"/>
      <c r="L9" s="30"/>
    </row>
    <row r="10" spans="2:46" s="1" customFormat="1" ht="11.25">
      <c r="B10" s="30"/>
      <c r="L10" s="30"/>
    </row>
    <row r="11" spans="2:46" s="1" customFormat="1" ht="12" customHeight="1">
      <c r="B11" s="30"/>
      <c r="D11" s="25" t="s">
        <v>18</v>
      </c>
      <c r="F11" s="23" t="s">
        <v>1</v>
      </c>
      <c r="I11" s="25" t="s">
        <v>19</v>
      </c>
      <c r="J11" s="23" t="s">
        <v>1</v>
      </c>
      <c r="L11" s="30"/>
    </row>
    <row r="12" spans="2:46" s="1" customFormat="1" ht="12" customHeight="1">
      <c r="B12" s="30"/>
      <c r="D12" s="25" t="s">
        <v>20</v>
      </c>
      <c r="F12" s="23" t="s">
        <v>21</v>
      </c>
      <c r="I12" s="25" t="s">
        <v>22</v>
      </c>
      <c r="J12" s="50" t="str">
        <f>'Rekapitulace stavby'!AN8</f>
        <v>Vyplň údaj</v>
      </c>
      <c r="L12" s="30"/>
    </row>
    <row r="13" spans="2:46" s="1" customFormat="1" ht="10.9" customHeight="1">
      <c r="B13" s="30"/>
      <c r="L13" s="30"/>
    </row>
    <row r="14" spans="2:46" s="1" customFormat="1" ht="12" customHeight="1">
      <c r="B14" s="30"/>
      <c r="D14" s="25" t="s">
        <v>23</v>
      </c>
      <c r="I14" s="25" t="s">
        <v>24</v>
      </c>
      <c r="J14" s="23" t="s">
        <v>25</v>
      </c>
      <c r="L14" s="30"/>
    </row>
    <row r="15" spans="2:46" s="1" customFormat="1" ht="18" customHeight="1">
      <c r="B15" s="30"/>
      <c r="E15" s="23" t="s">
        <v>26</v>
      </c>
      <c r="I15" s="25" t="s">
        <v>27</v>
      </c>
      <c r="J15" s="23" t="s">
        <v>28</v>
      </c>
      <c r="L15" s="30"/>
    </row>
    <row r="16" spans="2:46" s="1" customFormat="1" ht="6.95" customHeight="1">
      <c r="B16" s="30"/>
      <c r="L16" s="30"/>
    </row>
    <row r="17" spans="2:12" s="1" customFormat="1" ht="12" customHeight="1">
      <c r="B17" s="30"/>
      <c r="D17" s="25" t="s">
        <v>29</v>
      </c>
      <c r="I17" s="25" t="s">
        <v>24</v>
      </c>
      <c r="J17" s="26" t="str">
        <f>'Rekapitulace stavby'!AN13</f>
        <v>Vyplň údaj</v>
      </c>
      <c r="L17" s="30"/>
    </row>
    <row r="18" spans="2:12" s="1" customFormat="1" ht="18" customHeight="1">
      <c r="B18" s="30"/>
      <c r="E18" s="205" t="str">
        <f>'Rekapitulace stavby'!E14</f>
        <v>Vyplň údaj</v>
      </c>
      <c r="F18" s="167"/>
      <c r="G18" s="167"/>
      <c r="H18" s="167"/>
      <c r="I18" s="25" t="s">
        <v>27</v>
      </c>
      <c r="J18" s="26" t="str">
        <f>'Rekapitulace stavby'!AN14</f>
        <v>Vyplň údaj</v>
      </c>
      <c r="L18" s="30"/>
    </row>
    <row r="19" spans="2:12" s="1" customFormat="1" ht="6.95" customHeight="1">
      <c r="B19" s="30"/>
      <c r="L19" s="30"/>
    </row>
    <row r="20" spans="2:12" s="1" customFormat="1" ht="12" customHeight="1">
      <c r="B20" s="30"/>
      <c r="D20" s="25" t="s">
        <v>31</v>
      </c>
      <c r="I20" s="25" t="s">
        <v>24</v>
      </c>
      <c r="J20" s="23" t="s">
        <v>32</v>
      </c>
      <c r="L20" s="30"/>
    </row>
    <row r="21" spans="2:12" s="1" customFormat="1" ht="18" customHeight="1">
      <c r="B21" s="30"/>
      <c r="E21" s="23" t="s">
        <v>33</v>
      </c>
      <c r="I21" s="25" t="s">
        <v>27</v>
      </c>
      <c r="J21" s="23" t="s">
        <v>34</v>
      </c>
      <c r="L21" s="30"/>
    </row>
    <row r="22" spans="2:12" s="1" customFormat="1" ht="6.95" customHeight="1">
      <c r="B22" s="30"/>
      <c r="L22" s="30"/>
    </row>
    <row r="23" spans="2:12" s="1" customFormat="1" ht="12" customHeight="1">
      <c r="B23" s="30"/>
      <c r="D23" s="25" t="s">
        <v>36</v>
      </c>
      <c r="I23" s="25" t="s">
        <v>24</v>
      </c>
      <c r="J23" s="23" t="s">
        <v>1</v>
      </c>
      <c r="L23" s="30"/>
    </row>
    <row r="24" spans="2:12" s="1" customFormat="1" ht="18" customHeight="1">
      <c r="B24" s="30"/>
      <c r="E24" s="23" t="s">
        <v>37</v>
      </c>
      <c r="I24" s="25" t="s">
        <v>27</v>
      </c>
      <c r="J24" s="23" t="s">
        <v>1</v>
      </c>
      <c r="L24" s="30"/>
    </row>
    <row r="25" spans="2:12" s="1" customFormat="1" ht="6.95" customHeight="1">
      <c r="B25" s="30"/>
      <c r="L25" s="30"/>
    </row>
    <row r="26" spans="2:12" s="1" customFormat="1" ht="12" customHeight="1">
      <c r="B26" s="30"/>
      <c r="D26" s="25" t="s">
        <v>38</v>
      </c>
      <c r="L26" s="30"/>
    </row>
    <row r="27" spans="2:12" s="7" customFormat="1" ht="16.5" customHeight="1">
      <c r="B27" s="87"/>
      <c r="E27" s="172" t="s">
        <v>1</v>
      </c>
      <c r="F27" s="172"/>
      <c r="G27" s="172"/>
      <c r="H27" s="172"/>
      <c r="L27" s="87"/>
    </row>
    <row r="28" spans="2:12" s="1" customFormat="1" ht="6.95" customHeight="1">
      <c r="B28" s="30"/>
      <c r="L28" s="30"/>
    </row>
    <row r="29" spans="2:12" s="1" customFormat="1" ht="6.95" customHeight="1">
      <c r="B29" s="30"/>
      <c r="D29" s="51"/>
      <c r="E29" s="51"/>
      <c r="F29" s="51"/>
      <c r="G29" s="51"/>
      <c r="H29" s="51"/>
      <c r="I29" s="51"/>
      <c r="J29" s="51"/>
      <c r="K29" s="51"/>
      <c r="L29" s="30"/>
    </row>
    <row r="30" spans="2:12" s="1" customFormat="1" ht="25.35" customHeight="1">
      <c r="B30" s="30"/>
      <c r="D30" s="88" t="s">
        <v>40</v>
      </c>
      <c r="J30" s="64">
        <f>ROUND(J119, 2)</f>
        <v>0</v>
      </c>
      <c r="L30" s="30"/>
    </row>
    <row r="31" spans="2:12" s="1" customFormat="1" ht="6.95" customHeight="1">
      <c r="B31" s="30"/>
      <c r="D31" s="51"/>
      <c r="E31" s="51"/>
      <c r="F31" s="51"/>
      <c r="G31" s="51"/>
      <c r="H31" s="51"/>
      <c r="I31" s="51"/>
      <c r="J31" s="51"/>
      <c r="K31" s="51"/>
      <c r="L31" s="30"/>
    </row>
    <row r="32" spans="2:12" s="1" customFormat="1" ht="14.45" customHeight="1">
      <c r="B32" s="30"/>
      <c r="F32" s="33" t="s">
        <v>42</v>
      </c>
      <c r="I32" s="33" t="s">
        <v>41</v>
      </c>
      <c r="J32" s="33" t="s">
        <v>43</v>
      </c>
      <c r="L32" s="30"/>
    </row>
    <row r="33" spans="2:12" s="1" customFormat="1" ht="14.45" customHeight="1">
      <c r="B33" s="30"/>
      <c r="D33" s="53" t="s">
        <v>44</v>
      </c>
      <c r="E33" s="25" t="s">
        <v>45</v>
      </c>
      <c r="F33" s="89">
        <f>ROUND((SUM(BE119:BE227)),  2)</f>
        <v>0</v>
      </c>
      <c r="I33" s="90">
        <v>0.21</v>
      </c>
      <c r="J33" s="89">
        <f>ROUND(((SUM(BE119:BE227))*I33),  2)</f>
        <v>0</v>
      </c>
      <c r="L33" s="30"/>
    </row>
    <row r="34" spans="2:12" s="1" customFormat="1" ht="14.45" customHeight="1">
      <c r="B34" s="30"/>
      <c r="E34" s="25" t="s">
        <v>46</v>
      </c>
      <c r="F34" s="89">
        <f>ROUND((SUM(BF119:BF227)),  2)</f>
        <v>0</v>
      </c>
      <c r="I34" s="90">
        <v>0.12</v>
      </c>
      <c r="J34" s="89">
        <f>ROUND(((SUM(BF119:BF227))*I34),  2)</f>
        <v>0</v>
      </c>
      <c r="L34" s="30"/>
    </row>
    <row r="35" spans="2:12" s="1" customFormat="1" ht="14.45" hidden="1" customHeight="1">
      <c r="B35" s="30"/>
      <c r="E35" s="25" t="s">
        <v>47</v>
      </c>
      <c r="F35" s="89">
        <f>ROUND((SUM(BG119:BG227)),  2)</f>
        <v>0</v>
      </c>
      <c r="I35" s="90">
        <v>0.21</v>
      </c>
      <c r="J35" s="89">
        <f>0</f>
        <v>0</v>
      </c>
      <c r="L35" s="30"/>
    </row>
    <row r="36" spans="2:12" s="1" customFormat="1" ht="14.45" hidden="1" customHeight="1">
      <c r="B36" s="30"/>
      <c r="E36" s="25" t="s">
        <v>48</v>
      </c>
      <c r="F36" s="89">
        <f>ROUND((SUM(BH119:BH227)),  2)</f>
        <v>0</v>
      </c>
      <c r="I36" s="90">
        <v>0.12</v>
      </c>
      <c r="J36" s="89">
        <f>0</f>
        <v>0</v>
      </c>
      <c r="L36" s="30"/>
    </row>
    <row r="37" spans="2:12" s="1" customFormat="1" ht="14.45" hidden="1" customHeight="1">
      <c r="B37" s="30"/>
      <c r="E37" s="25" t="s">
        <v>49</v>
      </c>
      <c r="F37" s="89">
        <f>ROUND((SUM(BI119:BI227)),  2)</f>
        <v>0</v>
      </c>
      <c r="I37" s="90">
        <v>0</v>
      </c>
      <c r="J37" s="89">
        <f>0</f>
        <v>0</v>
      </c>
      <c r="L37" s="30"/>
    </row>
    <row r="38" spans="2:12" s="1" customFormat="1" ht="6.95" customHeight="1">
      <c r="B38" s="30"/>
      <c r="L38" s="30"/>
    </row>
    <row r="39" spans="2:12" s="1" customFormat="1" ht="25.35" customHeight="1">
      <c r="B39" s="30"/>
      <c r="C39" s="91"/>
      <c r="D39" s="92" t="s">
        <v>50</v>
      </c>
      <c r="E39" s="55"/>
      <c r="F39" s="55"/>
      <c r="G39" s="93" t="s">
        <v>51</v>
      </c>
      <c r="H39" s="94" t="s">
        <v>52</v>
      </c>
      <c r="I39" s="55"/>
      <c r="J39" s="95">
        <f>SUM(J30:J37)</f>
        <v>0</v>
      </c>
      <c r="K39" s="96"/>
      <c r="L39" s="30"/>
    </row>
    <row r="40" spans="2:12" s="1" customFormat="1" ht="14.45" customHeight="1">
      <c r="B40" s="30"/>
      <c r="L40" s="30"/>
    </row>
    <row r="41" spans="2:12" ht="14.45" customHeight="1">
      <c r="B41" s="18"/>
      <c r="L41" s="18"/>
    </row>
    <row r="42" spans="2:12" ht="14.45" customHeight="1">
      <c r="B42" s="18"/>
      <c r="L42" s="18"/>
    </row>
    <row r="43" spans="2:12" ht="14.45" customHeight="1">
      <c r="B43" s="18"/>
      <c r="L43" s="18"/>
    </row>
    <row r="44" spans="2:12" ht="14.45" customHeight="1">
      <c r="B44" s="18"/>
      <c r="L44" s="18"/>
    </row>
    <row r="45" spans="2:12" ht="14.45" customHeight="1">
      <c r="B45" s="18"/>
      <c r="L45" s="18"/>
    </row>
    <row r="46" spans="2:12" ht="14.45" customHeight="1">
      <c r="B46" s="18"/>
      <c r="L46" s="18"/>
    </row>
    <row r="47" spans="2:12" ht="14.45" customHeight="1">
      <c r="B47" s="18"/>
      <c r="L47" s="18"/>
    </row>
    <row r="48" spans="2:12" ht="14.45" customHeight="1">
      <c r="B48" s="18"/>
      <c r="L48" s="18"/>
    </row>
    <row r="49" spans="2:12" ht="14.45" customHeight="1">
      <c r="B49" s="18"/>
      <c r="L49" s="18"/>
    </row>
    <row r="50" spans="2:12" s="1" customFormat="1" ht="14.45" customHeight="1">
      <c r="B50" s="30"/>
      <c r="D50" s="39" t="s">
        <v>53</v>
      </c>
      <c r="E50" s="40"/>
      <c r="F50" s="40"/>
      <c r="G50" s="39" t="s">
        <v>54</v>
      </c>
      <c r="H50" s="40"/>
      <c r="I50" s="40"/>
      <c r="J50" s="40"/>
      <c r="K50" s="40"/>
      <c r="L50" s="30"/>
    </row>
    <row r="51" spans="2:12" ht="11.25">
      <c r="B51" s="18"/>
      <c r="L51" s="18"/>
    </row>
    <row r="52" spans="2:12" ht="11.25">
      <c r="B52" s="18"/>
      <c r="L52" s="18"/>
    </row>
    <row r="53" spans="2:12" ht="11.25">
      <c r="B53" s="18"/>
      <c r="L53" s="18"/>
    </row>
    <row r="54" spans="2:12" ht="11.25">
      <c r="B54" s="18"/>
      <c r="L54" s="18"/>
    </row>
    <row r="55" spans="2:12" ht="11.25">
      <c r="B55" s="18"/>
      <c r="L55" s="18"/>
    </row>
    <row r="56" spans="2:12" ht="11.25">
      <c r="B56" s="18"/>
      <c r="L56" s="18"/>
    </row>
    <row r="57" spans="2:12" ht="11.25">
      <c r="B57" s="18"/>
      <c r="L57" s="18"/>
    </row>
    <row r="58" spans="2:12" ht="11.25">
      <c r="B58" s="18"/>
      <c r="L58" s="18"/>
    </row>
    <row r="59" spans="2:12" ht="11.25">
      <c r="B59" s="18"/>
      <c r="L59" s="18"/>
    </row>
    <row r="60" spans="2:12" ht="11.25">
      <c r="B60" s="18"/>
      <c r="L60" s="18"/>
    </row>
    <row r="61" spans="2:12" s="1" customFormat="1" ht="12.75">
      <c r="B61" s="30"/>
      <c r="D61" s="41" t="s">
        <v>55</v>
      </c>
      <c r="E61" s="32"/>
      <c r="F61" s="97" t="s">
        <v>56</v>
      </c>
      <c r="G61" s="41" t="s">
        <v>55</v>
      </c>
      <c r="H61" s="32"/>
      <c r="I61" s="32"/>
      <c r="J61" s="98" t="s">
        <v>56</v>
      </c>
      <c r="K61" s="32"/>
      <c r="L61" s="30"/>
    </row>
    <row r="62" spans="2:12" ht="11.25">
      <c r="B62" s="18"/>
      <c r="L62" s="18"/>
    </row>
    <row r="63" spans="2:12" ht="11.25">
      <c r="B63" s="18"/>
      <c r="L63" s="18"/>
    </row>
    <row r="64" spans="2:12" ht="11.25">
      <c r="B64" s="18"/>
      <c r="L64" s="18"/>
    </row>
    <row r="65" spans="2:12" s="1" customFormat="1" ht="12.75">
      <c r="B65" s="30"/>
      <c r="D65" s="39" t="s">
        <v>57</v>
      </c>
      <c r="E65" s="40"/>
      <c r="F65" s="40"/>
      <c r="G65" s="39" t="s">
        <v>58</v>
      </c>
      <c r="H65" s="40"/>
      <c r="I65" s="40"/>
      <c r="J65" s="40"/>
      <c r="K65" s="40"/>
      <c r="L65" s="30"/>
    </row>
    <row r="66" spans="2:12" ht="11.25">
      <c r="B66" s="18"/>
      <c r="L66" s="18"/>
    </row>
    <row r="67" spans="2:12" ht="11.25">
      <c r="B67" s="18"/>
      <c r="L67" s="18"/>
    </row>
    <row r="68" spans="2:12" ht="11.25">
      <c r="B68" s="18"/>
      <c r="L68" s="18"/>
    </row>
    <row r="69" spans="2:12" ht="11.25">
      <c r="B69" s="18"/>
      <c r="L69" s="18"/>
    </row>
    <row r="70" spans="2:12" ht="11.25">
      <c r="B70" s="18"/>
      <c r="L70" s="18"/>
    </row>
    <row r="71" spans="2:12" ht="11.25">
      <c r="B71" s="18"/>
      <c r="L71" s="18"/>
    </row>
    <row r="72" spans="2:12" ht="11.25">
      <c r="B72" s="18"/>
      <c r="L72" s="18"/>
    </row>
    <row r="73" spans="2:12" ht="11.25">
      <c r="B73" s="18"/>
      <c r="L73" s="18"/>
    </row>
    <row r="74" spans="2:12" ht="11.25">
      <c r="B74" s="18"/>
      <c r="L74" s="18"/>
    </row>
    <row r="75" spans="2:12" ht="11.25">
      <c r="B75" s="18"/>
      <c r="L75" s="18"/>
    </row>
    <row r="76" spans="2:12" s="1" customFormat="1" ht="12.75">
      <c r="B76" s="30"/>
      <c r="D76" s="41" t="s">
        <v>55</v>
      </c>
      <c r="E76" s="32"/>
      <c r="F76" s="97" t="s">
        <v>56</v>
      </c>
      <c r="G76" s="41" t="s">
        <v>55</v>
      </c>
      <c r="H76" s="32"/>
      <c r="I76" s="32"/>
      <c r="J76" s="98" t="s">
        <v>56</v>
      </c>
      <c r="K76" s="32"/>
      <c r="L76" s="30"/>
    </row>
    <row r="77" spans="2:12" s="1" customFormat="1" ht="14.45" customHeight="1">
      <c r="B77" s="42"/>
      <c r="C77" s="43"/>
      <c r="D77" s="43"/>
      <c r="E77" s="43"/>
      <c r="F77" s="43"/>
      <c r="G77" s="43"/>
      <c r="H77" s="43"/>
      <c r="I77" s="43"/>
      <c r="J77" s="43"/>
      <c r="K77" s="43"/>
      <c r="L77" s="30"/>
    </row>
    <row r="81" spans="2:47" s="1" customFormat="1" ht="6.95" customHeight="1">
      <c r="B81" s="44"/>
      <c r="C81" s="45"/>
      <c r="D81" s="45"/>
      <c r="E81" s="45"/>
      <c r="F81" s="45"/>
      <c r="G81" s="45"/>
      <c r="H81" s="45"/>
      <c r="I81" s="45"/>
      <c r="J81" s="45"/>
      <c r="K81" s="45"/>
      <c r="L81" s="30"/>
    </row>
    <row r="82" spans="2:47" s="1" customFormat="1" ht="24.95" customHeight="1">
      <c r="B82" s="30"/>
      <c r="C82" s="19" t="s">
        <v>100</v>
      </c>
      <c r="L82" s="30"/>
    </row>
    <row r="83" spans="2:47" s="1" customFormat="1" ht="6.95" customHeight="1">
      <c r="B83" s="30"/>
      <c r="L83" s="30"/>
    </row>
    <row r="84" spans="2:47" s="1" customFormat="1" ht="12" customHeight="1">
      <c r="B84" s="30"/>
      <c r="C84" s="25" t="s">
        <v>16</v>
      </c>
      <c r="L84" s="30"/>
    </row>
    <row r="85" spans="2:47" s="1" customFormat="1" ht="16.5" customHeight="1">
      <c r="B85" s="30"/>
      <c r="E85" s="202" t="str">
        <f>E7</f>
        <v>Oprava silnice II/634 Rudolfov-Klauda</v>
      </c>
      <c r="F85" s="203"/>
      <c r="G85" s="203"/>
      <c r="H85" s="203"/>
      <c r="L85" s="30"/>
    </row>
    <row r="86" spans="2:47" s="1" customFormat="1" ht="12" customHeight="1">
      <c r="B86" s="30"/>
      <c r="C86" s="25" t="s">
        <v>98</v>
      </c>
      <c r="L86" s="30"/>
    </row>
    <row r="87" spans="2:47" s="1" customFormat="1" ht="16.5" customHeight="1">
      <c r="B87" s="30"/>
      <c r="E87" s="183" t="str">
        <f>E9</f>
        <v>SO102 - DIO</v>
      </c>
      <c r="F87" s="204"/>
      <c r="G87" s="204"/>
      <c r="H87" s="204"/>
      <c r="L87" s="30"/>
    </row>
    <row r="88" spans="2:47" s="1" customFormat="1" ht="6.95" customHeight="1">
      <c r="B88" s="30"/>
      <c r="L88" s="30"/>
    </row>
    <row r="89" spans="2:47" s="1" customFormat="1" ht="12" customHeight="1">
      <c r="B89" s="30"/>
      <c r="C89" s="25" t="s">
        <v>20</v>
      </c>
      <c r="F89" s="23" t="str">
        <f>F12</f>
        <v>Rudolfov-Klauda</v>
      </c>
      <c r="I89" s="25" t="s">
        <v>22</v>
      </c>
      <c r="J89" s="50" t="str">
        <f>IF(J12="","",J12)</f>
        <v>Vyplň údaj</v>
      </c>
      <c r="L89" s="30"/>
    </row>
    <row r="90" spans="2:47" s="1" customFormat="1" ht="6.95" customHeight="1">
      <c r="B90" s="30"/>
      <c r="L90" s="30"/>
    </row>
    <row r="91" spans="2:47" s="1" customFormat="1" ht="40.15" customHeight="1">
      <c r="B91" s="30"/>
      <c r="C91" s="25" t="s">
        <v>23</v>
      </c>
      <c r="F91" s="23" t="str">
        <f>E15</f>
        <v>Jihočeský kraj</v>
      </c>
      <c r="I91" s="25" t="s">
        <v>31</v>
      </c>
      <c r="J91" s="28" t="str">
        <f>E21</f>
        <v>Správa a údržba silnic Jihočeského kraje p.o.</v>
      </c>
      <c r="L91" s="30"/>
    </row>
    <row r="92" spans="2:47" s="1" customFormat="1" ht="25.7" customHeight="1">
      <c r="B92" s="30"/>
      <c r="C92" s="25" t="s">
        <v>29</v>
      </c>
      <c r="F92" s="23" t="str">
        <f>IF(E18="","",E18)</f>
        <v>Vyplň údaj</v>
      </c>
      <c r="I92" s="25" t="s">
        <v>36</v>
      </c>
      <c r="J92" s="28" t="str">
        <f>E24</f>
        <v>Petr Nachtigal 606 633 836</v>
      </c>
      <c r="L92" s="30"/>
    </row>
    <row r="93" spans="2:47" s="1" customFormat="1" ht="10.35" customHeight="1">
      <c r="B93" s="30"/>
      <c r="L93" s="30"/>
    </row>
    <row r="94" spans="2:47" s="1" customFormat="1" ht="29.25" customHeight="1">
      <c r="B94" s="30"/>
      <c r="C94" s="99" t="s">
        <v>101</v>
      </c>
      <c r="D94" s="91"/>
      <c r="E94" s="91"/>
      <c r="F94" s="91"/>
      <c r="G94" s="91"/>
      <c r="H94" s="91"/>
      <c r="I94" s="91"/>
      <c r="J94" s="100" t="s">
        <v>102</v>
      </c>
      <c r="K94" s="91"/>
      <c r="L94" s="30"/>
    </row>
    <row r="95" spans="2:47" s="1" customFormat="1" ht="10.35" customHeight="1">
      <c r="B95" s="30"/>
      <c r="L95" s="30"/>
    </row>
    <row r="96" spans="2:47" s="1" customFormat="1" ht="22.9" customHeight="1">
      <c r="B96" s="30"/>
      <c r="C96" s="101" t="s">
        <v>103</v>
      </c>
      <c r="J96" s="64">
        <f>J119</f>
        <v>0</v>
      </c>
      <c r="L96" s="30"/>
      <c r="AU96" s="15" t="s">
        <v>104</v>
      </c>
    </row>
    <row r="97" spans="2:12" s="8" customFormat="1" ht="24.95" customHeight="1">
      <c r="B97" s="102"/>
      <c r="D97" s="103" t="s">
        <v>105</v>
      </c>
      <c r="E97" s="104"/>
      <c r="F97" s="104"/>
      <c r="G97" s="104"/>
      <c r="H97" s="104"/>
      <c r="I97" s="104"/>
      <c r="J97" s="105">
        <f>J120</f>
        <v>0</v>
      </c>
      <c r="L97" s="102"/>
    </row>
    <row r="98" spans="2:12" s="9" customFormat="1" ht="19.899999999999999" customHeight="1">
      <c r="B98" s="106"/>
      <c r="D98" s="107" t="s">
        <v>109</v>
      </c>
      <c r="E98" s="108"/>
      <c r="F98" s="108"/>
      <c r="G98" s="108"/>
      <c r="H98" s="108"/>
      <c r="I98" s="108"/>
      <c r="J98" s="109">
        <f>J121</f>
        <v>0</v>
      </c>
      <c r="L98" s="106"/>
    </row>
    <row r="99" spans="2:12" s="8" customFormat="1" ht="24.95" customHeight="1">
      <c r="B99" s="102"/>
      <c r="D99" s="103" t="s">
        <v>110</v>
      </c>
      <c r="E99" s="104"/>
      <c r="F99" s="104"/>
      <c r="G99" s="104"/>
      <c r="H99" s="104"/>
      <c r="I99" s="104"/>
      <c r="J99" s="105">
        <f>J218</f>
        <v>0</v>
      </c>
      <c r="L99" s="102"/>
    </row>
    <row r="100" spans="2:12" s="1" customFormat="1" ht="21.75" customHeight="1">
      <c r="B100" s="30"/>
      <c r="L100" s="30"/>
    </row>
    <row r="101" spans="2:12" s="1" customFormat="1" ht="6.95" customHeight="1">
      <c r="B101" s="42"/>
      <c r="C101" s="43"/>
      <c r="D101" s="43"/>
      <c r="E101" s="43"/>
      <c r="F101" s="43"/>
      <c r="G101" s="43"/>
      <c r="H101" s="43"/>
      <c r="I101" s="43"/>
      <c r="J101" s="43"/>
      <c r="K101" s="43"/>
      <c r="L101" s="30"/>
    </row>
    <row r="105" spans="2:12" s="1" customFormat="1" ht="6.95" customHeight="1">
      <c r="B105" s="44"/>
      <c r="C105" s="45"/>
      <c r="D105" s="45"/>
      <c r="E105" s="45"/>
      <c r="F105" s="45"/>
      <c r="G105" s="45"/>
      <c r="H105" s="45"/>
      <c r="I105" s="45"/>
      <c r="J105" s="45"/>
      <c r="K105" s="45"/>
      <c r="L105" s="30"/>
    </row>
    <row r="106" spans="2:12" s="1" customFormat="1" ht="24.95" customHeight="1">
      <c r="B106" s="30"/>
      <c r="C106" s="19" t="s">
        <v>111</v>
      </c>
      <c r="L106" s="30"/>
    </row>
    <row r="107" spans="2:12" s="1" customFormat="1" ht="6.95" customHeight="1">
      <c r="B107" s="30"/>
      <c r="L107" s="30"/>
    </row>
    <row r="108" spans="2:12" s="1" customFormat="1" ht="12" customHeight="1">
      <c r="B108" s="30"/>
      <c r="C108" s="25" t="s">
        <v>16</v>
      </c>
      <c r="L108" s="30"/>
    </row>
    <row r="109" spans="2:12" s="1" customFormat="1" ht="16.5" customHeight="1">
      <c r="B109" s="30"/>
      <c r="E109" s="202" t="str">
        <f>E7</f>
        <v>Oprava silnice II/634 Rudolfov-Klauda</v>
      </c>
      <c r="F109" s="203"/>
      <c r="G109" s="203"/>
      <c r="H109" s="203"/>
      <c r="L109" s="30"/>
    </row>
    <row r="110" spans="2:12" s="1" customFormat="1" ht="12" customHeight="1">
      <c r="B110" s="30"/>
      <c r="C110" s="25" t="s">
        <v>98</v>
      </c>
      <c r="L110" s="30"/>
    </row>
    <row r="111" spans="2:12" s="1" customFormat="1" ht="16.5" customHeight="1">
      <c r="B111" s="30"/>
      <c r="E111" s="183" t="str">
        <f>E9</f>
        <v>SO102 - DIO</v>
      </c>
      <c r="F111" s="204"/>
      <c r="G111" s="204"/>
      <c r="H111" s="204"/>
      <c r="L111" s="30"/>
    </row>
    <row r="112" spans="2:12" s="1" customFormat="1" ht="6.95" customHeight="1">
      <c r="B112" s="30"/>
      <c r="L112" s="30"/>
    </row>
    <row r="113" spans="2:65" s="1" customFormat="1" ht="12" customHeight="1">
      <c r="B113" s="30"/>
      <c r="C113" s="25" t="s">
        <v>20</v>
      </c>
      <c r="F113" s="23" t="str">
        <f>F12</f>
        <v>Rudolfov-Klauda</v>
      </c>
      <c r="I113" s="25" t="s">
        <v>22</v>
      </c>
      <c r="J113" s="50" t="str">
        <f>IF(J12="","",J12)</f>
        <v>Vyplň údaj</v>
      </c>
      <c r="L113" s="30"/>
    </row>
    <row r="114" spans="2:65" s="1" customFormat="1" ht="6.95" customHeight="1">
      <c r="B114" s="30"/>
      <c r="L114" s="30"/>
    </row>
    <row r="115" spans="2:65" s="1" customFormat="1" ht="40.15" customHeight="1">
      <c r="B115" s="30"/>
      <c r="C115" s="25" t="s">
        <v>23</v>
      </c>
      <c r="F115" s="23" t="str">
        <f>E15</f>
        <v>Jihočeský kraj</v>
      </c>
      <c r="I115" s="25" t="s">
        <v>31</v>
      </c>
      <c r="J115" s="28" t="str">
        <f>E21</f>
        <v>Správa a údržba silnic Jihočeského kraje p.o.</v>
      </c>
      <c r="L115" s="30"/>
    </row>
    <row r="116" spans="2:65" s="1" customFormat="1" ht="25.7" customHeight="1">
      <c r="B116" s="30"/>
      <c r="C116" s="25" t="s">
        <v>29</v>
      </c>
      <c r="F116" s="23" t="str">
        <f>IF(E18="","",E18)</f>
        <v>Vyplň údaj</v>
      </c>
      <c r="I116" s="25" t="s">
        <v>36</v>
      </c>
      <c r="J116" s="28" t="str">
        <f>E24</f>
        <v>Petr Nachtigal 606 633 836</v>
      </c>
      <c r="L116" s="30"/>
    </row>
    <row r="117" spans="2:65" s="1" customFormat="1" ht="10.35" customHeight="1">
      <c r="B117" s="30"/>
      <c r="L117" s="30"/>
    </row>
    <row r="118" spans="2:65" s="10" customFormat="1" ht="29.25" customHeight="1">
      <c r="B118" s="110"/>
      <c r="C118" s="111" t="s">
        <v>112</v>
      </c>
      <c r="D118" s="112" t="s">
        <v>65</v>
      </c>
      <c r="E118" s="112" t="s">
        <v>61</v>
      </c>
      <c r="F118" s="112" t="s">
        <v>62</v>
      </c>
      <c r="G118" s="112" t="s">
        <v>113</v>
      </c>
      <c r="H118" s="112" t="s">
        <v>114</v>
      </c>
      <c r="I118" s="112" t="s">
        <v>115</v>
      </c>
      <c r="J118" s="112" t="s">
        <v>102</v>
      </c>
      <c r="K118" s="113" t="s">
        <v>116</v>
      </c>
      <c r="L118" s="110"/>
      <c r="M118" s="57" t="s">
        <v>1</v>
      </c>
      <c r="N118" s="58" t="s">
        <v>44</v>
      </c>
      <c r="O118" s="58" t="s">
        <v>117</v>
      </c>
      <c r="P118" s="58" t="s">
        <v>118</v>
      </c>
      <c r="Q118" s="58" t="s">
        <v>119</v>
      </c>
      <c r="R118" s="58" t="s">
        <v>120</v>
      </c>
      <c r="S118" s="58" t="s">
        <v>121</v>
      </c>
      <c r="T118" s="59" t="s">
        <v>122</v>
      </c>
    </row>
    <row r="119" spans="2:65" s="1" customFormat="1" ht="22.9" customHeight="1">
      <c r="B119" s="30"/>
      <c r="C119" s="62" t="s">
        <v>123</v>
      </c>
      <c r="J119" s="114">
        <f>BK119</f>
        <v>0</v>
      </c>
      <c r="L119" s="30"/>
      <c r="M119" s="60"/>
      <c r="N119" s="51"/>
      <c r="O119" s="51"/>
      <c r="P119" s="115">
        <f>P120+P218</f>
        <v>0</v>
      </c>
      <c r="Q119" s="51"/>
      <c r="R119" s="115">
        <f>R120+R218</f>
        <v>0</v>
      </c>
      <c r="S119" s="51"/>
      <c r="T119" s="116">
        <f>T120+T218</f>
        <v>0</v>
      </c>
      <c r="AT119" s="15" t="s">
        <v>79</v>
      </c>
      <c r="AU119" s="15" t="s">
        <v>104</v>
      </c>
      <c r="BK119" s="117">
        <f>BK120+BK218</f>
        <v>0</v>
      </c>
    </row>
    <row r="120" spans="2:65" s="11" customFormat="1" ht="25.9" customHeight="1">
      <c r="B120" s="118"/>
      <c r="D120" s="119" t="s">
        <v>79</v>
      </c>
      <c r="E120" s="120" t="s">
        <v>124</v>
      </c>
      <c r="F120" s="120" t="s">
        <v>125</v>
      </c>
      <c r="I120" s="121"/>
      <c r="J120" s="122">
        <f>BK120</f>
        <v>0</v>
      </c>
      <c r="L120" s="118"/>
      <c r="M120" s="123"/>
      <c r="P120" s="124">
        <f>P121</f>
        <v>0</v>
      </c>
      <c r="R120" s="124">
        <f>R121</f>
        <v>0</v>
      </c>
      <c r="T120" s="125">
        <f>T121</f>
        <v>0</v>
      </c>
      <c r="AR120" s="119" t="s">
        <v>88</v>
      </c>
      <c r="AT120" s="126" t="s">
        <v>79</v>
      </c>
      <c r="AU120" s="126" t="s">
        <v>80</v>
      </c>
      <c r="AY120" s="119" t="s">
        <v>126</v>
      </c>
      <c r="BK120" s="127">
        <f>BK121</f>
        <v>0</v>
      </c>
    </row>
    <row r="121" spans="2:65" s="11" customFormat="1" ht="22.9" customHeight="1">
      <c r="B121" s="118"/>
      <c r="D121" s="119" t="s">
        <v>79</v>
      </c>
      <c r="E121" s="128" t="s">
        <v>273</v>
      </c>
      <c r="F121" s="128" t="s">
        <v>274</v>
      </c>
      <c r="I121" s="121"/>
      <c r="J121" s="129">
        <f>BK121</f>
        <v>0</v>
      </c>
      <c r="L121" s="118"/>
      <c r="M121" s="123"/>
      <c r="P121" s="124">
        <f>SUM(P122:P217)</f>
        <v>0</v>
      </c>
      <c r="R121" s="124">
        <f>SUM(R122:R217)</f>
        <v>0</v>
      </c>
      <c r="T121" s="125">
        <f>SUM(T122:T217)</f>
        <v>0</v>
      </c>
      <c r="AR121" s="119" t="s">
        <v>88</v>
      </c>
      <c r="AT121" s="126" t="s">
        <v>79</v>
      </c>
      <c r="AU121" s="126" t="s">
        <v>88</v>
      </c>
      <c r="AY121" s="119" t="s">
        <v>126</v>
      </c>
      <c r="BK121" s="127">
        <f>SUM(BK122:BK217)</f>
        <v>0</v>
      </c>
    </row>
    <row r="122" spans="2:65" s="1" customFormat="1" ht="33" customHeight="1">
      <c r="B122" s="30"/>
      <c r="C122" s="130" t="s">
        <v>88</v>
      </c>
      <c r="D122" s="130" t="s">
        <v>128</v>
      </c>
      <c r="E122" s="131" t="s">
        <v>320</v>
      </c>
      <c r="F122" s="132" t="s">
        <v>321</v>
      </c>
      <c r="G122" s="133" t="s">
        <v>256</v>
      </c>
      <c r="H122" s="134">
        <v>55</v>
      </c>
      <c r="I122" s="135"/>
      <c r="J122" s="136">
        <f>ROUND(I122*H122,2)</f>
        <v>0</v>
      </c>
      <c r="K122" s="132" t="s">
        <v>132</v>
      </c>
      <c r="L122" s="30"/>
      <c r="M122" s="137" t="s">
        <v>1</v>
      </c>
      <c r="N122" s="138" t="s">
        <v>45</v>
      </c>
      <c r="P122" s="139">
        <f>O122*H122</f>
        <v>0</v>
      </c>
      <c r="Q122" s="139">
        <v>0</v>
      </c>
      <c r="R122" s="139">
        <f>Q122*H122</f>
        <v>0</v>
      </c>
      <c r="S122" s="139">
        <v>0</v>
      </c>
      <c r="T122" s="140">
        <f>S122*H122</f>
        <v>0</v>
      </c>
      <c r="AR122" s="141" t="s">
        <v>133</v>
      </c>
      <c r="AT122" s="141" t="s">
        <v>128</v>
      </c>
      <c r="AU122" s="141" t="s">
        <v>90</v>
      </c>
      <c r="AY122" s="15" t="s">
        <v>126</v>
      </c>
      <c r="BE122" s="142">
        <f>IF(N122="základní",J122,0)</f>
        <v>0</v>
      </c>
      <c r="BF122" s="142">
        <f>IF(N122="snížená",J122,0)</f>
        <v>0</v>
      </c>
      <c r="BG122" s="142">
        <f>IF(N122="zákl. přenesená",J122,0)</f>
        <v>0</v>
      </c>
      <c r="BH122" s="142">
        <f>IF(N122="sníž. přenesená",J122,0)</f>
        <v>0</v>
      </c>
      <c r="BI122" s="142">
        <f>IF(N122="nulová",J122,0)</f>
        <v>0</v>
      </c>
      <c r="BJ122" s="15" t="s">
        <v>88</v>
      </c>
      <c r="BK122" s="142">
        <f>ROUND(I122*H122,2)</f>
        <v>0</v>
      </c>
      <c r="BL122" s="15" t="s">
        <v>133</v>
      </c>
      <c r="BM122" s="141" t="s">
        <v>322</v>
      </c>
    </row>
    <row r="123" spans="2:65" s="1" customFormat="1" ht="19.5">
      <c r="B123" s="30"/>
      <c r="D123" s="143" t="s">
        <v>135</v>
      </c>
      <c r="F123" s="144" t="s">
        <v>321</v>
      </c>
      <c r="I123" s="145"/>
      <c r="L123" s="30"/>
      <c r="M123" s="146"/>
      <c r="T123" s="54"/>
      <c r="AT123" s="15" t="s">
        <v>135</v>
      </c>
      <c r="AU123" s="15" t="s">
        <v>90</v>
      </c>
    </row>
    <row r="124" spans="2:65" s="1" customFormat="1" ht="39">
      <c r="B124" s="30"/>
      <c r="D124" s="143" t="s">
        <v>136</v>
      </c>
      <c r="F124" s="147" t="s">
        <v>323</v>
      </c>
      <c r="I124" s="145"/>
      <c r="L124" s="30"/>
      <c r="M124" s="146"/>
      <c r="T124" s="54"/>
      <c r="AT124" s="15" t="s">
        <v>136</v>
      </c>
      <c r="AU124" s="15" t="s">
        <v>90</v>
      </c>
    </row>
    <row r="125" spans="2:65" s="12" customFormat="1" ht="11.25">
      <c r="B125" s="148"/>
      <c r="D125" s="143" t="s">
        <v>138</v>
      </c>
      <c r="E125" s="149" t="s">
        <v>1</v>
      </c>
      <c r="F125" s="150" t="s">
        <v>324</v>
      </c>
      <c r="H125" s="149" t="s">
        <v>1</v>
      </c>
      <c r="I125" s="151"/>
      <c r="L125" s="148"/>
      <c r="M125" s="152"/>
      <c r="T125" s="153"/>
      <c r="AT125" s="149" t="s">
        <v>138</v>
      </c>
      <c r="AU125" s="149" t="s">
        <v>90</v>
      </c>
      <c r="AV125" s="12" t="s">
        <v>88</v>
      </c>
      <c r="AW125" s="12" t="s">
        <v>35</v>
      </c>
      <c r="AX125" s="12" t="s">
        <v>80</v>
      </c>
      <c r="AY125" s="149" t="s">
        <v>126</v>
      </c>
    </row>
    <row r="126" spans="2:65" s="13" customFormat="1" ht="11.25">
      <c r="B126" s="154"/>
      <c r="D126" s="143" t="s">
        <v>138</v>
      </c>
      <c r="E126" s="155" t="s">
        <v>1</v>
      </c>
      <c r="F126" s="156" t="s">
        <v>325</v>
      </c>
      <c r="H126" s="157">
        <v>55</v>
      </c>
      <c r="I126" s="158"/>
      <c r="L126" s="154"/>
      <c r="M126" s="159"/>
      <c r="T126" s="160"/>
      <c r="AT126" s="155" t="s">
        <v>138</v>
      </c>
      <c r="AU126" s="155" t="s">
        <v>90</v>
      </c>
      <c r="AV126" s="13" t="s">
        <v>90</v>
      </c>
      <c r="AW126" s="13" t="s">
        <v>35</v>
      </c>
      <c r="AX126" s="13" t="s">
        <v>88</v>
      </c>
      <c r="AY126" s="155" t="s">
        <v>126</v>
      </c>
    </row>
    <row r="127" spans="2:65" s="1" customFormat="1" ht="24.2" customHeight="1">
      <c r="B127" s="30"/>
      <c r="C127" s="130" t="s">
        <v>90</v>
      </c>
      <c r="D127" s="130" t="s">
        <v>128</v>
      </c>
      <c r="E127" s="131" t="s">
        <v>326</v>
      </c>
      <c r="F127" s="132" t="s">
        <v>327</v>
      </c>
      <c r="G127" s="133" t="s">
        <v>256</v>
      </c>
      <c r="H127" s="134">
        <v>55</v>
      </c>
      <c r="I127" s="135"/>
      <c r="J127" s="136">
        <f>ROUND(I127*H127,2)</f>
        <v>0</v>
      </c>
      <c r="K127" s="132" t="s">
        <v>132</v>
      </c>
      <c r="L127" s="30"/>
      <c r="M127" s="137" t="s">
        <v>1</v>
      </c>
      <c r="N127" s="138" t="s">
        <v>45</v>
      </c>
      <c r="P127" s="139">
        <f>O127*H127</f>
        <v>0</v>
      </c>
      <c r="Q127" s="139">
        <v>0</v>
      </c>
      <c r="R127" s="139">
        <f>Q127*H127</f>
        <v>0</v>
      </c>
      <c r="S127" s="139">
        <v>0</v>
      </c>
      <c r="T127" s="140">
        <f>S127*H127</f>
        <v>0</v>
      </c>
      <c r="AR127" s="141" t="s">
        <v>133</v>
      </c>
      <c r="AT127" s="141" t="s">
        <v>128</v>
      </c>
      <c r="AU127" s="141" t="s">
        <v>90</v>
      </c>
      <c r="AY127" s="15" t="s">
        <v>126</v>
      </c>
      <c r="BE127" s="142">
        <f>IF(N127="základní",J127,0)</f>
        <v>0</v>
      </c>
      <c r="BF127" s="142">
        <f>IF(N127="snížená",J127,0)</f>
        <v>0</v>
      </c>
      <c r="BG127" s="142">
        <f>IF(N127="zákl. přenesená",J127,0)</f>
        <v>0</v>
      </c>
      <c r="BH127" s="142">
        <f>IF(N127="sníž. přenesená",J127,0)</f>
        <v>0</v>
      </c>
      <c r="BI127" s="142">
        <f>IF(N127="nulová",J127,0)</f>
        <v>0</v>
      </c>
      <c r="BJ127" s="15" t="s">
        <v>88</v>
      </c>
      <c r="BK127" s="142">
        <f>ROUND(I127*H127,2)</f>
        <v>0</v>
      </c>
      <c r="BL127" s="15" t="s">
        <v>133</v>
      </c>
      <c r="BM127" s="141" t="s">
        <v>328</v>
      </c>
    </row>
    <row r="128" spans="2:65" s="1" customFormat="1" ht="19.5">
      <c r="B128" s="30"/>
      <c r="D128" s="143" t="s">
        <v>135</v>
      </c>
      <c r="F128" s="144" t="s">
        <v>327</v>
      </c>
      <c r="I128" s="145"/>
      <c r="L128" s="30"/>
      <c r="M128" s="146"/>
      <c r="T128" s="54"/>
      <c r="AT128" s="15" t="s">
        <v>135</v>
      </c>
      <c r="AU128" s="15" t="s">
        <v>90</v>
      </c>
    </row>
    <row r="129" spans="2:65" s="1" customFormat="1" ht="29.25">
      <c r="B129" s="30"/>
      <c r="D129" s="143" t="s">
        <v>136</v>
      </c>
      <c r="F129" s="147" t="s">
        <v>329</v>
      </c>
      <c r="I129" s="145"/>
      <c r="L129" s="30"/>
      <c r="M129" s="146"/>
      <c r="T129" s="54"/>
      <c r="AT129" s="15" t="s">
        <v>136</v>
      </c>
      <c r="AU129" s="15" t="s">
        <v>90</v>
      </c>
    </row>
    <row r="130" spans="2:65" s="12" customFormat="1" ht="11.25">
      <c r="B130" s="148"/>
      <c r="D130" s="143" t="s">
        <v>138</v>
      </c>
      <c r="E130" s="149" t="s">
        <v>1</v>
      </c>
      <c r="F130" s="150" t="s">
        <v>324</v>
      </c>
      <c r="H130" s="149" t="s">
        <v>1</v>
      </c>
      <c r="I130" s="151"/>
      <c r="L130" s="148"/>
      <c r="M130" s="152"/>
      <c r="T130" s="153"/>
      <c r="AT130" s="149" t="s">
        <v>138</v>
      </c>
      <c r="AU130" s="149" t="s">
        <v>90</v>
      </c>
      <c r="AV130" s="12" t="s">
        <v>88</v>
      </c>
      <c r="AW130" s="12" t="s">
        <v>35</v>
      </c>
      <c r="AX130" s="12" t="s">
        <v>80</v>
      </c>
      <c r="AY130" s="149" t="s">
        <v>126</v>
      </c>
    </row>
    <row r="131" spans="2:65" s="13" customFormat="1" ht="11.25">
      <c r="B131" s="154"/>
      <c r="D131" s="143" t="s">
        <v>138</v>
      </c>
      <c r="E131" s="155" t="s">
        <v>1</v>
      </c>
      <c r="F131" s="156" t="s">
        <v>325</v>
      </c>
      <c r="H131" s="157">
        <v>55</v>
      </c>
      <c r="I131" s="158"/>
      <c r="L131" s="154"/>
      <c r="M131" s="159"/>
      <c r="T131" s="160"/>
      <c r="AT131" s="155" t="s">
        <v>138</v>
      </c>
      <c r="AU131" s="155" t="s">
        <v>90</v>
      </c>
      <c r="AV131" s="13" t="s">
        <v>90</v>
      </c>
      <c r="AW131" s="13" t="s">
        <v>35</v>
      </c>
      <c r="AX131" s="13" t="s">
        <v>88</v>
      </c>
      <c r="AY131" s="155" t="s">
        <v>126</v>
      </c>
    </row>
    <row r="132" spans="2:65" s="1" customFormat="1" ht="24.2" customHeight="1">
      <c r="B132" s="30"/>
      <c r="C132" s="130" t="s">
        <v>267</v>
      </c>
      <c r="D132" s="130" t="s">
        <v>128</v>
      </c>
      <c r="E132" s="131" t="s">
        <v>330</v>
      </c>
      <c r="F132" s="132" t="s">
        <v>331</v>
      </c>
      <c r="G132" s="133" t="s">
        <v>332</v>
      </c>
      <c r="H132" s="134">
        <v>1375</v>
      </c>
      <c r="I132" s="135"/>
      <c r="J132" s="136">
        <f>ROUND(I132*H132,2)</f>
        <v>0</v>
      </c>
      <c r="K132" s="132" t="s">
        <v>132</v>
      </c>
      <c r="L132" s="30"/>
      <c r="M132" s="137" t="s">
        <v>1</v>
      </c>
      <c r="N132" s="138" t="s">
        <v>45</v>
      </c>
      <c r="P132" s="139">
        <f>O132*H132</f>
        <v>0</v>
      </c>
      <c r="Q132" s="139">
        <v>0</v>
      </c>
      <c r="R132" s="139">
        <f>Q132*H132</f>
        <v>0</v>
      </c>
      <c r="S132" s="139">
        <v>0</v>
      </c>
      <c r="T132" s="140">
        <f>S132*H132</f>
        <v>0</v>
      </c>
      <c r="AR132" s="141" t="s">
        <v>133</v>
      </c>
      <c r="AT132" s="141" t="s">
        <v>128</v>
      </c>
      <c r="AU132" s="141" t="s">
        <v>90</v>
      </c>
      <c r="AY132" s="15" t="s">
        <v>126</v>
      </c>
      <c r="BE132" s="142">
        <f>IF(N132="základní",J132,0)</f>
        <v>0</v>
      </c>
      <c r="BF132" s="142">
        <f>IF(N132="snížená",J132,0)</f>
        <v>0</v>
      </c>
      <c r="BG132" s="142">
        <f>IF(N132="zákl. přenesená",J132,0)</f>
        <v>0</v>
      </c>
      <c r="BH132" s="142">
        <f>IF(N132="sníž. přenesená",J132,0)</f>
        <v>0</v>
      </c>
      <c r="BI132" s="142">
        <f>IF(N132="nulová",J132,0)</f>
        <v>0</v>
      </c>
      <c r="BJ132" s="15" t="s">
        <v>88</v>
      </c>
      <c r="BK132" s="142">
        <f>ROUND(I132*H132,2)</f>
        <v>0</v>
      </c>
      <c r="BL132" s="15" t="s">
        <v>133</v>
      </c>
      <c r="BM132" s="141" t="s">
        <v>333</v>
      </c>
    </row>
    <row r="133" spans="2:65" s="1" customFormat="1" ht="11.25">
      <c r="B133" s="30"/>
      <c r="D133" s="143" t="s">
        <v>135</v>
      </c>
      <c r="F133" s="144" t="s">
        <v>331</v>
      </c>
      <c r="I133" s="145"/>
      <c r="L133" s="30"/>
      <c r="M133" s="146"/>
      <c r="T133" s="54"/>
      <c r="AT133" s="15" t="s">
        <v>135</v>
      </c>
      <c r="AU133" s="15" t="s">
        <v>90</v>
      </c>
    </row>
    <row r="134" spans="2:65" s="1" customFormat="1" ht="29.25">
      <c r="B134" s="30"/>
      <c r="D134" s="143" t="s">
        <v>136</v>
      </c>
      <c r="F134" s="147" t="s">
        <v>334</v>
      </c>
      <c r="I134" s="145"/>
      <c r="L134" s="30"/>
      <c r="M134" s="146"/>
      <c r="T134" s="54"/>
      <c r="AT134" s="15" t="s">
        <v>136</v>
      </c>
      <c r="AU134" s="15" t="s">
        <v>90</v>
      </c>
    </row>
    <row r="135" spans="2:65" s="12" customFormat="1" ht="11.25">
      <c r="B135" s="148"/>
      <c r="D135" s="143" t="s">
        <v>138</v>
      </c>
      <c r="E135" s="149" t="s">
        <v>1</v>
      </c>
      <c r="F135" s="150" t="s">
        <v>324</v>
      </c>
      <c r="H135" s="149" t="s">
        <v>1</v>
      </c>
      <c r="I135" s="151"/>
      <c r="L135" s="148"/>
      <c r="M135" s="152"/>
      <c r="T135" s="153"/>
      <c r="AT135" s="149" t="s">
        <v>138</v>
      </c>
      <c r="AU135" s="149" t="s">
        <v>90</v>
      </c>
      <c r="AV135" s="12" t="s">
        <v>88</v>
      </c>
      <c r="AW135" s="12" t="s">
        <v>35</v>
      </c>
      <c r="AX135" s="12" t="s">
        <v>80</v>
      </c>
      <c r="AY135" s="149" t="s">
        <v>126</v>
      </c>
    </row>
    <row r="136" spans="2:65" s="12" customFormat="1" ht="11.25">
      <c r="B136" s="148"/>
      <c r="D136" s="143" t="s">
        <v>138</v>
      </c>
      <c r="E136" s="149" t="s">
        <v>1</v>
      </c>
      <c r="F136" s="150" t="s">
        <v>335</v>
      </c>
      <c r="H136" s="149" t="s">
        <v>1</v>
      </c>
      <c r="I136" s="151"/>
      <c r="L136" s="148"/>
      <c r="M136" s="152"/>
      <c r="T136" s="153"/>
      <c r="AT136" s="149" t="s">
        <v>138</v>
      </c>
      <c r="AU136" s="149" t="s">
        <v>90</v>
      </c>
      <c r="AV136" s="12" t="s">
        <v>88</v>
      </c>
      <c r="AW136" s="12" t="s">
        <v>35</v>
      </c>
      <c r="AX136" s="12" t="s">
        <v>80</v>
      </c>
      <c r="AY136" s="149" t="s">
        <v>126</v>
      </c>
    </row>
    <row r="137" spans="2:65" s="13" customFormat="1" ht="11.25">
      <c r="B137" s="154"/>
      <c r="D137" s="143" t="s">
        <v>138</v>
      </c>
      <c r="E137" s="155" t="s">
        <v>1</v>
      </c>
      <c r="F137" s="156" t="s">
        <v>336</v>
      </c>
      <c r="H137" s="157">
        <v>1375</v>
      </c>
      <c r="I137" s="158"/>
      <c r="L137" s="154"/>
      <c r="M137" s="159"/>
      <c r="T137" s="160"/>
      <c r="AT137" s="155" t="s">
        <v>138</v>
      </c>
      <c r="AU137" s="155" t="s">
        <v>90</v>
      </c>
      <c r="AV137" s="13" t="s">
        <v>90</v>
      </c>
      <c r="AW137" s="13" t="s">
        <v>35</v>
      </c>
      <c r="AX137" s="13" t="s">
        <v>88</v>
      </c>
      <c r="AY137" s="155" t="s">
        <v>126</v>
      </c>
    </row>
    <row r="138" spans="2:65" s="1" customFormat="1" ht="24.2" customHeight="1">
      <c r="B138" s="30"/>
      <c r="C138" s="130" t="s">
        <v>133</v>
      </c>
      <c r="D138" s="130" t="s">
        <v>128</v>
      </c>
      <c r="E138" s="131" t="s">
        <v>337</v>
      </c>
      <c r="F138" s="132" t="s">
        <v>338</v>
      </c>
      <c r="G138" s="133" t="s">
        <v>256</v>
      </c>
      <c r="H138" s="134">
        <v>11</v>
      </c>
      <c r="I138" s="135"/>
      <c r="J138" s="136">
        <f>ROUND(I138*H138,2)</f>
        <v>0</v>
      </c>
      <c r="K138" s="132" t="s">
        <v>132</v>
      </c>
      <c r="L138" s="30"/>
      <c r="M138" s="137" t="s">
        <v>1</v>
      </c>
      <c r="N138" s="138" t="s">
        <v>45</v>
      </c>
      <c r="P138" s="139">
        <f>O138*H138</f>
        <v>0</v>
      </c>
      <c r="Q138" s="139">
        <v>0</v>
      </c>
      <c r="R138" s="139">
        <f>Q138*H138</f>
        <v>0</v>
      </c>
      <c r="S138" s="139">
        <v>0</v>
      </c>
      <c r="T138" s="140">
        <f>S138*H138</f>
        <v>0</v>
      </c>
      <c r="AR138" s="141" t="s">
        <v>133</v>
      </c>
      <c r="AT138" s="141" t="s">
        <v>128</v>
      </c>
      <c r="AU138" s="141" t="s">
        <v>90</v>
      </c>
      <c r="AY138" s="15" t="s">
        <v>126</v>
      </c>
      <c r="BE138" s="142">
        <f>IF(N138="základní",J138,0)</f>
        <v>0</v>
      </c>
      <c r="BF138" s="142">
        <f>IF(N138="snížená",J138,0)</f>
        <v>0</v>
      </c>
      <c r="BG138" s="142">
        <f>IF(N138="zákl. přenesená",J138,0)</f>
        <v>0</v>
      </c>
      <c r="BH138" s="142">
        <f>IF(N138="sníž. přenesená",J138,0)</f>
        <v>0</v>
      </c>
      <c r="BI138" s="142">
        <f>IF(N138="nulová",J138,0)</f>
        <v>0</v>
      </c>
      <c r="BJ138" s="15" t="s">
        <v>88</v>
      </c>
      <c r="BK138" s="142">
        <f>ROUND(I138*H138,2)</f>
        <v>0</v>
      </c>
      <c r="BL138" s="15" t="s">
        <v>133</v>
      </c>
      <c r="BM138" s="141" t="s">
        <v>339</v>
      </c>
    </row>
    <row r="139" spans="2:65" s="1" customFormat="1" ht="19.5">
      <c r="B139" s="30"/>
      <c r="D139" s="143" t="s">
        <v>135</v>
      </c>
      <c r="F139" s="144" t="s">
        <v>338</v>
      </c>
      <c r="I139" s="145"/>
      <c r="L139" s="30"/>
      <c r="M139" s="146"/>
      <c r="T139" s="54"/>
      <c r="AT139" s="15" t="s">
        <v>135</v>
      </c>
      <c r="AU139" s="15" t="s">
        <v>90</v>
      </c>
    </row>
    <row r="140" spans="2:65" s="1" customFormat="1" ht="39">
      <c r="B140" s="30"/>
      <c r="D140" s="143" t="s">
        <v>136</v>
      </c>
      <c r="F140" s="147" t="s">
        <v>323</v>
      </c>
      <c r="I140" s="145"/>
      <c r="L140" s="30"/>
      <c r="M140" s="146"/>
      <c r="T140" s="54"/>
      <c r="AT140" s="15" t="s">
        <v>136</v>
      </c>
      <c r="AU140" s="15" t="s">
        <v>90</v>
      </c>
    </row>
    <row r="141" spans="2:65" s="12" customFormat="1" ht="11.25">
      <c r="B141" s="148"/>
      <c r="D141" s="143" t="s">
        <v>138</v>
      </c>
      <c r="E141" s="149" t="s">
        <v>1</v>
      </c>
      <c r="F141" s="150" t="s">
        <v>340</v>
      </c>
      <c r="H141" s="149" t="s">
        <v>1</v>
      </c>
      <c r="I141" s="151"/>
      <c r="L141" s="148"/>
      <c r="M141" s="152"/>
      <c r="T141" s="153"/>
      <c r="AT141" s="149" t="s">
        <v>138</v>
      </c>
      <c r="AU141" s="149" t="s">
        <v>90</v>
      </c>
      <c r="AV141" s="12" t="s">
        <v>88</v>
      </c>
      <c r="AW141" s="12" t="s">
        <v>35</v>
      </c>
      <c r="AX141" s="12" t="s">
        <v>80</v>
      </c>
      <c r="AY141" s="149" t="s">
        <v>126</v>
      </c>
    </row>
    <row r="142" spans="2:65" s="13" customFormat="1" ht="11.25">
      <c r="B142" s="154"/>
      <c r="D142" s="143" t="s">
        <v>138</v>
      </c>
      <c r="E142" s="155" t="s">
        <v>1</v>
      </c>
      <c r="F142" s="156" t="s">
        <v>184</v>
      </c>
      <c r="H142" s="157">
        <v>11</v>
      </c>
      <c r="I142" s="158"/>
      <c r="L142" s="154"/>
      <c r="M142" s="159"/>
      <c r="T142" s="160"/>
      <c r="AT142" s="155" t="s">
        <v>138</v>
      </c>
      <c r="AU142" s="155" t="s">
        <v>90</v>
      </c>
      <c r="AV142" s="13" t="s">
        <v>90</v>
      </c>
      <c r="AW142" s="13" t="s">
        <v>35</v>
      </c>
      <c r="AX142" s="13" t="s">
        <v>88</v>
      </c>
      <c r="AY142" s="155" t="s">
        <v>126</v>
      </c>
    </row>
    <row r="143" spans="2:65" s="1" customFormat="1" ht="24.2" customHeight="1">
      <c r="B143" s="30"/>
      <c r="C143" s="130" t="s">
        <v>192</v>
      </c>
      <c r="D143" s="130" t="s">
        <v>128</v>
      </c>
      <c r="E143" s="131" t="s">
        <v>341</v>
      </c>
      <c r="F143" s="132" t="s">
        <v>342</v>
      </c>
      <c r="G143" s="133" t="s">
        <v>256</v>
      </c>
      <c r="H143" s="134">
        <v>11</v>
      </c>
      <c r="I143" s="135"/>
      <c r="J143" s="136">
        <f>ROUND(I143*H143,2)</f>
        <v>0</v>
      </c>
      <c r="K143" s="132" t="s">
        <v>132</v>
      </c>
      <c r="L143" s="30"/>
      <c r="M143" s="137" t="s">
        <v>1</v>
      </c>
      <c r="N143" s="138" t="s">
        <v>45</v>
      </c>
      <c r="P143" s="139">
        <f>O143*H143</f>
        <v>0</v>
      </c>
      <c r="Q143" s="139">
        <v>0</v>
      </c>
      <c r="R143" s="139">
        <f>Q143*H143</f>
        <v>0</v>
      </c>
      <c r="S143" s="139">
        <v>0</v>
      </c>
      <c r="T143" s="140">
        <f>S143*H143</f>
        <v>0</v>
      </c>
      <c r="AR143" s="141" t="s">
        <v>133</v>
      </c>
      <c r="AT143" s="141" t="s">
        <v>128</v>
      </c>
      <c r="AU143" s="141" t="s">
        <v>90</v>
      </c>
      <c r="AY143" s="15" t="s">
        <v>126</v>
      </c>
      <c r="BE143" s="142">
        <f>IF(N143="základní",J143,0)</f>
        <v>0</v>
      </c>
      <c r="BF143" s="142">
        <f>IF(N143="snížená",J143,0)</f>
        <v>0</v>
      </c>
      <c r="BG143" s="142">
        <f>IF(N143="zákl. přenesená",J143,0)</f>
        <v>0</v>
      </c>
      <c r="BH143" s="142">
        <f>IF(N143="sníž. přenesená",J143,0)</f>
        <v>0</v>
      </c>
      <c r="BI143" s="142">
        <f>IF(N143="nulová",J143,0)</f>
        <v>0</v>
      </c>
      <c r="BJ143" s="15" t="s">
        <v>88</v>
      </c>
      <c r="BK143" s="142">
        <f>ROUND(I143*H143,2)</f>
        <v>0</v>
      </c>
      <c r="BL143" s="15" t="s">
        <v>133</v>
      </c>
      <c r="BM143" s="141" t="s">
        <v>343</v>
      </c>
    </row>
    <row r="144" spans="2:65" s="1" customFormat="1" ht="19.5">
      <c r="B144" s="30"/>
      <c r="D144" s="143" t="s">
        <v>135</v>
      </c>
      <c r="F144" s="144" t="s">
        <v>342</v>
      </c>
      <c r="I144" s="145"/>
      <c r="L144" s="30"/>
      <c r="M144" s="146"/>
      <c r="T144" s="54"/>
      <c r="AT144" s="15" t="s">
        <v>135</v>
      </c>
      <c r="AU144" s="15" t="s">
        <v>90</v>
      </c>
    </row>
    <row r="145" spans="2:65" s="1" customFormat="1" ht="29.25">
      <c r="B145" s="30"/>
      <c r="D145" s="143" t="s">
        <v>136</v>
      </c>
      <c r="F145" s="147" t="s">
        <v>329</v>
      </c>
      <c r="I145" s="145"/>
      <c r="L145" s="30"/>
      <c r="M145" s="146"/>
      <c r="T145" s="54"/>
      <c r="AT145" s="15" t="s">
        <v>136</v>
      </c>
      <c r="AU145" s="15" t="s">
        <v>90</v>
      </c>
    </row>
    <row r="146" spans="2:65" s="12" customFormat="1" ht="11.25">
      <c r="B146" s="148"/>
      <c r="D146" s="143" t="s">
        <v>138</v>
      </c>
      <c r="E146" s="149" t="s">
        <v>1</v>
      </c>
      <c r="F146" s="150" t="s">
        <v>340</v>
      </c>
      <c r="H146" s="149" t="s">
        <v>1</v>
      </c>
      <c r="I146" s="151"/>
      <c r="L146" s="148"/>
      <c r="M146" s="152"/>
      <c r="T146" s="153"/>
      <c r="AT146" s="149" t="s">
        <v>138</v>
      </c>
      <c r="AU146" s="149" t="s">
        <v>90</v>
      </c>
      <c r="AV146" s="12" t="s">
        <v>88</v>
      </c>
      <c r="AW146" s="12" t="s">
        <v>35</v>
      </c>
      <c r="AX146" s="12" t="s">
        <v>80</v>
      </c>
      <c r="AY146" s="149" t="s">
        <v>126</v>
      </c>
    </row>
    <row r="147" spans="2:65" s="13" customFormat="1" ht="11.25">
      <c r="B147" s="154"/>
      <c r="D147" s="143" t="s">
        <v>138</v>
      </c>
      <c r="E147" s="155" t="s">
        <v>1</v>
      </c>
      <c r="F147" s="156" t="s">
        <v>184</v>
      </c>
      <c r="H147" s="157">
        <v>11</v>
      </c>
      <c r="I147" s="158"/>
      <c r="L147" s="154"/>
      <c r="M147" s="159"/>
      <c r="T147" s="160"/>
      <c r="AT147" s="155" t="s">
        <v>138</v>
      </c>
      <c r="AU147" s="155" t="s">
        <v>90</v>
      </c>
      <c r="AV147" s="13" t="s">
        <v>90</v>
      </c>
      <c r="AW147" s="13" t="s">
        <v>35</v>
      </c>
      <c r="AX147" s="13" t="s">
        <v>88</v>
      </c>
      <c r="AY147" s="155" t="s">
        <v>126</v>
      </c>
    </row>
    <row r="148" spans="2:65" s="1" customFormat="1" ht="24.2" customHeight="1">
      <c r="B148" s="30"/>
      <c r="C148" s="130" t="s">
        <v>344</v>
      </c>
      <c r="D148" s="130" t="s">
        <v>128</v>
      </c>
      <c r="E148" s="131" t="s">
        <v>345</v>
      </c>
      <c r="F148" s="132" t="s">
        <v>346</v>
      </c>
      <c r="G148" s="133" t="s">
        <v>332</v>
      </c>
      <c r="H148" s="134">
        <v>275</v>
      </c>
      <c r="I148" s="135"/>
      <c r="J148" s="136">
        <f>ROUND(I148*H148,2)</f>
        <v>0</v>
      </c>
      <c r="K148" s="132" t="s">
        <v>132</v>
      </c>
      <c r="L148" s="30"/>
      <c r="M148" s="137" t="s">
        <v>1</v>
      </c>
      <c r="N148" s="138" t="s">
        <v>45</v>
      </c>
      <c r="P148" s="139">
        <f>O148*H148</f>
        <v>0</v>
      </c>
      <c r="Q148" s="139">
        <v>0</v>
      </c>
      <c r="R148" s="139">
        <f>Q148*H148</f>
        <v>0</v>
      </c>
      <c r="S148" s="139">
        <v>0</v>
      </c>
      <c r="T148" s="140">
        <f>S148*H148</f>
        <v>0</v>
      </c>
      <c r="AR148" s="141" t="s">
        <v>133</v>
      </c>
      <c r="AT148" s="141" t="s">
        <v>128</v>
      </c>
      <c r="AU148" s="141" t="s">
        <v>90</v>
      </c>
      <c r="AY148" s="15" t="s">
        <v>126</v>
      </c>
      <c r="BE148" s="142">
        <f>IF(N148="základní",J148,0)</f>
        <v>0</v>
      </c>
      <c r="BF148" s="142">
        <f>IF(N148="snížená",J148,0)</f>
        <v>0</v>
      </c>
      <c r="BG148" s="142">
        <f>IF(N148="zákl. přenesená",J148,0)</f>
        <v>0</v>
      </c>
      <c r="BH148" s="142">
        <f>IF(N148="sníž. přenesená",J148,0)</f>
        <v>0</v>
      </c>
      <c r="BI148" s="142">
        <f>IF(N148="nulová",J148,0)</f>
        <v>0</v>
      </c>
      <c r="BJ148" s="15" t="s">
        <v>88</v>
      </c>
      <c r="BK148" s="142">
        <f>ROUND(I148*H148,2)</f>
        <v>0</v>
      </c>
      <c r="BL148" s="15" t="s">
        <v>133</v>
      </c>
      <c r="BM148" s="141" t="s">
        <v>347</v>
      </c>
    </row>
    <row r="149" spans="2:65" s="1" customFormat="1" ht="11.25">
      <c r="B149" s="30"/>
      <c r="D149" s="143" t="s">
        <v>135</v>
      </c>
      <c r="F149" s="144" t="s">
        <v>346</v>
      </c>
      <c r="I149" s="145"/>
      <c r="L149" s="30"/>
      <c r="M149" s="146"/>
      <c r="T149" s="54"/>
      <c r="AT149" s="15" t="s">
        <v>135</v>
      </c>
      <c r="AU149" s="15" t="s">
        <v>90</v>
      </c>
    </row>
    <row r="150" spans="2:65" s="1" customFormat="1" ht="29.25">
      <c r="B150" s="30"/>
      <c r="D150" s="143" t="s">
        <v>136</v>
      </c>
      <c r="F150" s="147" t="s">
        <v>334</v>
      </c>
      <c r="I150" s="145"/>
      <c r="L150" s="30"/>
      <c r="M150" s="146"/>
      <c r="T150" s="54"/>
      <c r="AT150" s="15" t="s">
        <v>136</v>
      </c>
      <c r="AU150" s="15" t="s">
        <v>90</v>
      </c>
    </row>
    <row r="151" spans="2:65" s="12" customFormat="1" ht="11.25">
      <c r="B151" s="148"/>
      <c r="D151" s="143" t="s">
        <v>138</v>
      </c>
      <c r="E151" s="149" t="s">
        <v>1</v>
      </c>
      <c r="F151" s="150" t="s">
        <v>340</v>
      </c>
      <c r="H151" s="149" t="s">
        <v>1</v>
      </c>
      <c r="I151" s="151"/>
      <c r="L151" s="148"/>
      <c r="M151" s="152"/>
      <c r="T151" s="153"/>
      <c r="AT151" s="149" t="s">
        <v>138</v>
      </c>
      <c r="AU151" s="149" t="s">
        <v>90</v>
      </c>
      <c r="AV151" s="12" t="s">
        <v>88</v>
      </c>
      <c r="AW151" s="12" t="s">
        <v>35</v>
      </c>
      <c r="AX151" s="12" t="s">
        <v>80</v>
      </c>
      <c r="AY151" s="149" t="s">
        <v>126</v>
      </c>
    </row>
    <row r="152" spans="2:65" s="12" customFormat="1" ht="11.25">
      <c r="B152" s="148"/>
      <c r="D152" s="143" t="s">
        <v>138</v>
      </c>
      <c r="E152" s="149" t="s">
        <v>1</v>
      </c>
      <c r="F152" s="150" t="s">
        <v>335</v>
      </c>
      <c r="H152" s="149" t="s">
        <v>1</v>
      </c>
      <c r="I152" s="151"/>
      <c r="L152" s="148"/>
      <c r="M152" s="152"/>
      <c r="T152" s="153"/>
      <c r="AT152" s="149" t="s">
        <v>138</v>
      </c>
      <c r="AU152" s="149" t="s">
        <v>90</v>
      </c>
      <c r="AV152" s="12" t="s">
        <v>88</v>
      </c>
      <c r="AW152" s="12" t="s">
        <v>35</v>
      </c>
      <c r="AX152" s="12" t="s">
        <v>80</v>
      </c>
      <c r="AY152" s="149" t="s">
        <v>126</v>
      </c>
    </row>
    <row r="153" spans="2:65" s="13" customFormat="1" ht="11.25">
      <c r="B153" s="154"/>
      <c r="D153" s="143" t="s">
        <v>138</v>
      </c>
      <c r="E153" s="155" t="s">
        <v>1</v>
      </c>
      <c r="F153" s="156" t="s">
        <v>348</v>
      </c>
      <c r="H153" s="157">
        <v>275</v>
      </c>
      <c r="I153" s="158"/>
      <c r="L153" s="154"/>
      <c r="M153" s="159"/>
      <c r="T153" s="160"/>
      <c r="AT153" s="155" t="s">
        <v>138</v>
      </c>
      <c r="AU153" s="155" t="s">
        <v>90</v>
      </c>
      <c r="AV153" s="13" t="s">
        <v>90</v>
      </c>
      <c r="AW153" s="13" t="s">
        <v>35</v>
      </c>
      <c r="AX153" s="13" t="s">
        <v>88</v>
      </c>
      <c r="AY153" s="155" t="s">
        <v>126</v>
      </c>
    </row>
    <row r="154" spans="2:65" s="1" customFormat="1" ht="24.2" customHeight="1">
      <c r="B154" s="30"/>
      <c r="C154" s="130" t="s">
        <v>349</v>
      </c>
      <c r="D154" s="130" t="s">
        <v>128</v>
      </c>
      <c r="E154" s="131" t="s">
        <v>350</v>
      </c>
      <c r="F154" s="132" t="s">
        <v>351</v>
      </c>
      <c r="G154" s="133" t="s">
        <v>256</v>
      </c>
      <c r="H154" s="134">
        <v>4</v>
      </c>
      <c r="I154" s="135"/>
      <c r="J154" s="136">
        <f>ROUND(I154*H154,2)</f>
        <v>0</v>
      </c>
      <c r="K154" s="132" t="s">
        <v>132</v>
      </c>
      <c r="L154" s="30"/>
      <c r="M154" s="137" t="s">
        <v>1</v>
      </c>
      <c r="N154" s="138" t="s">
        <v>45</v>
      </c>
      <c r="P154" s="139">
        <f>O154*H154</f>
        <v>0</v>
      </c>
      <c r="Q154" s="139">
        <v>0</v>
      </c>
      <c r="R154" s="139">
        <f>Q154*H154</f>
        <v>0</v>
      </c>
      <c r="S154" s="139">
        <v>0</v>
      </c>
      <c r="T154" s="140">
        <f>S154*H154</f>
        <v>0</v>
      </c>
      <c r="AR154" s="141" t="s">
        <v>133</v>
      </c>
      <c r="AT154" s="141" t="s">
        <v>128</v>
      </c>
      <c r="AU154" s="141" t="s">
        <v>90</v>
      </c>
      <c r="AY154" s="15" t="s">
        <v>126</v>
      </c>
      <c r="BE154" s="142">
        <f>IF(N154="základní",J154,0)</f>
        <v>0</v>
      </c>
      <c r="BF154" s="142">
        <f>IF(N154="snížená",J154,0)</f>
        <v>0</v>
      </c>
      <c r="BG154" s="142">
        <f>IF(N154="zákl. přenesená",J154,0)</f>
        <v>0</v>
      </c>
      <c r="BH154" s="142">
        <f>IF(N154="sníž. přenesená",J154,0)</f>
        <v>0</v>
      </c>
      <c r="BI154" s="142">
        <f>IF(N154="nulová",J154,0)</f>
        <v>0</v>
      </c>
      <c r="BJ154" s="15" t="s">
        <v>88</v>
      </c>
      <c r="BK154" s="142">
        <f>ROUND(I154*H154,2)</f>
        <v>0</v>
      </c>
      <c r="BL154" s="15" t="s">
        <v>133</v>
      </c>
      <c r="BM154" s="141" t="s">
        <v>352</v>
      </c>
    </row>
    <row r="155" spans="2:65" s="1" customFormat="1" ht="19.5">
      <c r="B155" s="30"/>
      <c r="D155" s="143" t="s">
        <v>135</v>
      </c>
      <c r="F155" s="144" t="s">
        <v>351</v>
      </c>
      <c r="I155" s="145"/>
      <c r="L155" s="30"/>
      <c r="M155" s="146"/>
      <c r="T155" s="54"/>
      <c r="AT155" s="15" t="s">
        <v>135</v>
      </c>
      <c r="AU155" s="15" t="s">
        <v>90</v>
      </c>
    </row>
    <row r="156" spans="2:65" s="1" customFormat="1" ht="48.75">
      <c r="B156" s="30"/>
      <c r="D156" s="143" t="s">
        <v>136</v>
      </c>
      <c r="F156" s="147" t="s">
        <v>353</v>
      </c>
      <c r="I156" s="145"/>
      <c r="L156" s="30"/>
      <c r="M156" s="146"/>
      <c r="T156" s="54"/>
      <c r="AT156" s="15" t="s">
        <v>136</v>
      </c>
      <c r="AU156" s="15" t="s">
        <v>90</v>
      </c>
    </row>
    <row r="157" spans="2:65" s="12" customFormat="1" ht="11.25">
      <c r="B157" s="148"/>
      <c r="D157" s="143" t="s">
        <v>138</v>
      </c>
      <c r="E157" s="149" t="s">
        <v>1</v>
      </c>
      <c r="F157" s="150" t="s">
        <v>260</v>
      </c>
      <c r="H157" s="149" t="s">
        <v>1</v>
      </c>
      <c r="I157" s="151"/>
      <c r="L157" s="148"/>
      <c r="M157" s="152"/>
      <c r="T157" s="153"/>
      <c r="AT157" s="149" t="s">
        <v>138</v>
      </c>
      <c r="AU157" s="149" t="s">
        <v>90</v>
      </c>
      <c r="AV157" s="12" t="s">
        <v>88</v>
      </c>
      <c r="AW157" s="12" t="s">
        <v>35</v>
      </c>
      <c r="AX157" s="12" t="s">
        <v>80</v>
      </c>
      <c r="AY157" s="149" t="s">
        <v>126</v>
      </c>
    </row>
    <row r="158" spans="2:65" s="13" customFormat="1" ht="11.25">
      <c r="B158" s="154"/>
      <c r="D158" s="143" t="s">
        <v>138</v>
      </c>
      <c r="E158" s="155" t="s">
        <v>1</v>
      </c>
      <c r="F158" s="156" t="s">
        <v>133</v>
      </c>
      <c r="H158" s="157">
        <v>4</v>
      </c>
      <c r="I158" s="158"/>
      <c r="L158" s="154"/>
      <c r="M158" s="159"/>
      <c r="T158" s="160"/>
      <c r="AT158" s="155" t="s">
        <v>138</v>
      </c>
      <c r="AU158" s="155" t="s">
        <v>90</v>
      </c>
      <c r="AV158" s="13" t="s">
        <v>90</v>
      </c>
      <c r="AW158" s="13" t="s">
        <v>35</v>
      </c>
      <c r="AX158" s="13" t="s">
        <v>88</v>
      </c>
      <c r="AY158" s="155" t="s">
        <v>126</v>
      </c>
    </row>
    <row r="159" spans="2:65" s="1" customFormat="1" ht="24.2" customHeight="1">
      <c r="B159" s="30"/>
      <c r="C159" s="130" t="s">
        <v>251</v>
      </c>
      <c r="D159" s="130" t="s">
        <v>128</v>
      </c>
      <c r="E159" s="131" t="s">
        <v>354</v>
      </c>
      <c r="F159" s="132" t="s">
        <v>355</v>
      </c>
      <c r="G159" s="133" t="s">
        <v>256</v>
      </c>
      <c r="H159" s="134">
        <v>4</v>
      </c>
      <c r="I159" s="135"/>
      <c r="J159" s="136">
        <f>ROUND(I159*H159,2)</f>
        <v>0</v>
      </c>
      <c r="K159" s="132" t="s">
        <v>132</v>
      </c>
      <c r="L159" s="30"/>
      <c r="M159" s="137" t="s">
        <v>1</v>
      </c>
      <c r="N159" s="138" t="s">
        <v>45</v>
      </c>
      <c r="P159" s="139">
        <f>O159*H159</f>
        <v>0</v>
      </c>
      <c r="Q159" s="139">
        <v>0</v>
      </c>
      <c r="R159" s="139">
        <f>Q159*H159</f>
        <v>0</v>
      </c>
      <c r="S159" s="139">
        <v>0</v>
      </c>
      <c r="T159" s="140">
        <f>S159*H159</f>
        <v>0</v>
      </c>
      <c r="AR159" s="141" t="s">
        <v>133</v>
      </c>
      <c r="AT159" s="141" t="s">
        <v>128</v>
      </c>
      <c r="AU159" s="141" t="s">
        <v>90</v>
      </c>
      <c r="AY159" s="15" t="s">
        <v>126</v>
      </c>
      <c r="BE159" s="142">
        <f>IF(N159="základní",J159,0)</f>
        <v>0</v>
      </c>
      <c r="BF159" s="142">
        <f>IF(N159="snížená",J159,0)</f>
        <v>0</v>
      </c>
      <c r="BG159" s="142">
        <f>IF(N159="zákl. přenesená",J159,0)</f>
        <v>0</v>
      </c>
      <c r="BH159" s="142">
        <f>IF(N159="sníž. přenesená",J159,0)</f>
        <v>0</v>
      </c>
      <c r="BI159" s="142">
        <f>IF(N159="nulová",J159,0)</f>
        <v>0</v>
      </c>
      <c r="BJ159" s="15" t="s">
        <v>88</v>
      </c>
      <c r="BK159" s="142">
        <f>ROUND(I159*H159,2)</f>
        <v>0</v>
      </c>
      <c r="BL159" s="15" t="s">
        <v>133</v>
      </c>
      <c r="BM159" s="141" t="s">
        <v>356</v>
      </c>
    </row>
    <row r="160" spans="2:65" s="1" customFormat="1" ht="11.25">
      <c r="B160" s="30"/>
      <c r="D160" s="143" t="s">
        <v>135</v>
      </c>
      <c r="F160" s="144" t="s">
        <v>355</v>
      </c>
      <c r="I160" s="145"/>
      <c r="L160" s="30"/>
      <c r="M160" s="146"/>
      <c r="T160" s="54"/>
      <c r="AT160" s="15" t="s">
        <v>135</v>
      </c>
      <c r="AU160" s="15" t="s">
        <v>90</v>
      </c>
    </row>
    <row r="161" spans="2:65" s="1" customFormat="1" ht="29.25">
      <c r="B161" s="30"/>
      <c r="D161" s="143" t="s">
        <v>136</v>
      </c>
      <c r="F161" s="147" t="s">
        <v>357</v>
      </c>
      <c r="I161" s="145"/>
      <c r="L161" s="30"/>
      <c r="M161" s="146"/>
      <c r="T161" s="54"/>
      <c r="AT161" s="15" t="s">
        <v>136</v>
      </c>
      <c r="AU161" s="15" t="s">
        <v>90</v>
      </c>
    </row>
    <row r="162" spans="2:65" s="12" customFormat="1" ht="11.25">
      <c r="B162" s="148"/>
      <c r="D162" s="143" t="s">
        <v>138</v>
      </c>
      <c r="E162" s="149" t="s">
        <v>1</v>
      </c>
      <c r="F162" s="150" t="s">
        <v>260</v>
      </c>
      <c r="H162" s="149" t="s">
        <v>1</v>
      </c>
      <c r="I162" s="151"/>
      <c r="L162" s="148"/>
      <c r="M162" s="152"/>
      <c r="T162" s="153"/>
      <c r="AT162" s="149" t="s">
        <v>138</v>
      </c>
      <c r="AU162" s="149" t="s">
        <v>90</v>
      </c>
      <c r="AV162" s="12" t="s">
        <v>88</v>
      </c>
      <c r="AW162" s="12" t="s">
        <v>35</v>
      </c>
      <c r="AX162" s="12" t="s">
        <v>80</v>
      </c>
      <c r="AY162" s="149" t="s">
        <v>126</v>
      </c>
    </row>
    <row r="163" spans="2:65" s="13" customFormat="1" ht="11.25">
      <c r="B163" s="154"/>
      <c r="D163" s="143" t="s">
        <v>138</v>
      </c>
      <c r="E163" s="155" t="s">
        <v>1</v>
      </c>
      <c r="F163" s="156" t="s">
        <v>133</v>
      </c>
      <c r="H163" s="157">
        <v>4</v>
      </c>
      <c r="I163" s="158"/>
      <c r="L163" s="154"/>
      <c r="M163" s="159"/>
      <c r="T163" s="160"/>
      <c r="AT163" s="155" t="s">
        <v>138</v>
      </c>
      <c r="AU163" s="155" t="s">
        <v>90</v>
      </c>
      <c r="AV163" s="13" t="s">
        <v>90</v>
      </c>
      <c r="AW163" s="13" t="s">
        <v>35</v>
      </c>
      <c r="AX163" s="13" t="s">
        <v>88</v>
      </c>
      <c r="AY163" s="155" t="s">
        <v>126</v>
      </c>
    </row>
    <row r="164" spans="2:65" s="1" customFormat="1" ht="24.2" customHeight="1">
      <c r="B164" s="30"/>
      <c r="C164" s="130" t="s">
        <v>273</v>
      </c>
      <c r="D164" s="130" t="s">
        <v>128</v>
      </c>
      <c r="E164" s="131" t="s">
        <v>358</v>
      </c>
      <c r="F164" s="132" t="s">
        <v>359</v>
      </c>
      <c r="G164" s="133" t="s">
        <v>332</v>
      </c>
      <c r="H164" s="134">
        <v>100</v>
      </c>
      <c r="I164" s="135"/>
      <c r="J164" s="136">
        <f>ROUND(I164*H164,2)</f>
        <v>0</v>
      </c>
      <c r="K164" s="132" t="s">
        <v>132</v>
      </c>
      <c r="L164" s="30"/>
      <c r="M164" s="137" t="s">
        <v>1</v>
      </c>
      <c r="N164" s="138" t="s">
        <v>45</v>
      </c>
      <c r="P164" s="139">
        <f>O164*H164</f>
        <v>0</v>
      </c>
      <c r="Q164" s="139">
        <v>0</v>
      </c>
      <c r="R164" s="139">
        <f>Q164*H164</f>
        <v>0</v>
      </c>
      <c r="S164" s="139">
        <v>0</v>
      </c>
      <c r="T164" s="140">
        <f>S164*H164</f>
        <v>0</v>
      </c>
      <c r="AR164" s="141" t="s">
        <v>133</v>
      </c>
      <c r="AT164" s="141" t="s">
        <v>128</v>
      </c>
      <c r="AU164" s="141" t="s">
        <v>90</v>
      </c>
      <c r="AY164" s="15" t="s">
        <v>126</v>
      </c>
      <c r="BE164" s="142">
        <f>IF(N164="základní",J164,0)</f>
        <v>0</v>
      </c>
      <c r="BF164" s="142">
        <f>IF(N164="snížená",J164,0)</f>
        <v>0</v>
      </c>
      <c r="BG164" s="142">
        <f>IF(N164="zákl. přenesená",J164,0)</f>
        <v>0</v>
      </c>
      <c r="BH164" s="142">
        <f>IF(N164="sníž. přenesená",J164,0)</f>
        <v>0</v>
      </c>
      <c r="BI164" s="142">
        <f>IF(N164="nulová",J164,0)</f>
        <v>0</v>
      </c>
      <c r="BJ164" s="15" t="s">
        <v>88</v>
      </c>
      <c r="BK164" s="142">
        <f>ROUND(I164*H164,2)</f>
        <v>0</v>
      </c>
      <c r="BL164" s="15" t="s">
        <v>133</v>
      </c>
      <c r="BM164" s="141" t="s">
        <v>360</v>
      </c>
    </row>
    <row r="165" spans="2:65" s="1" customFormat="1" ht="11.25">
      <c r="B165" s="30"/>
      <c r="D165" s="143" t="s">
        <v>135</v>
      </c>
      <c r="F165" s="144" t="s">
        <v>359</v>
      </c>
      <c r="I165" s="145"/>
      <c r="L165" s="30"/>
      <c r="M165" s="146"/>
      <c r="T165" s="54"/>
      <c r="AT165" s="15" t="s">
        <v>135</v>
      </c>
      <c r="AU165" s="15" t="s">
        <v>90</v>
      </c>
    </row>
    <row r="166" spans="2:65" s="1" customFormat="1" ht="29.25">
      <c r="B166" s="30"/>
      <c r="D166" s="143" t="s">
        <v>136</v>
      </c>
      <c r="F166" s="147" t="s">
        <v>361</v>
      </c>
      <c r="I166" s="145"/>
      <c r="L166" s="30"/>
      <c r="M166" s="146"/>
      <c r="T166" s="54"/>
      <c r="AT166" s="15" t="s">
        <v>136</v>
      </c>
      <c r="AU166" s="15" t="s">
        <v>90</v>
      </c>
    </row>
    <row r="167" spans="2:65" s="12" customFormat="1" ht="11.25">
      <c r="B167" s="148"/>
      <c r="D167" s="143" t="s">
        <v>138</v>
      </c>
      <c r="E167" s="149" t="s">
        <v>1</v>
      </c>
      <c r="F167" s="150" t="s">
        <v>260</v>
      </c>
      <c r="H167" s="149" t="s">
        <v>1</v>
      </c>
      <c r="I167" s="151"/>
      <c r="L167" s="148"/>
      <c r="M167" s="152"/>
      <c r="T167" s="153"/>
      <c r="AT167" s="149" t="s">
        <v>138</v>
      </c>
      <c r="AU167" s="149" t="s">
        <v>90</v>
      </c>
      <c r="AV167" s="12" t="s">
        <v>88</v>
      </c>
      <c r="AW167" s="12" t="s">
        <v>35</v>
      </c>
      <c r="AX167" s="12" t="s">
        <v>80</v>
      </c>
      <c r="AY167" s="149" t="s">
        <v>126</v>
      </c>
    </row>
    <row r="168" spans="2:65" s="12" customFormat="1" ht="11.25">
      <c r="B168" s="148"/>
      <c r="D168" s="143" t="s">
        <v>138</v>
      </c>
      <c r="E168" s="149" t="s">
        <v>1</v>
      </c>
      <c r="F168" s="150" t="s">
        <v>335</v>
      </c>
      <c r="H168" s="149" t="s">
        <v>1</v>
      </c>
      <c r="I168" s="151"/>
      <c r="L168" s="148"/>
      <c r="M168" s="152"/>
      <c r="T168" s="153"/>
      <c r="AT168" s="149" t="s">
        <v>138</v>
      </c>
      <c r="AU168" s="149" t="s">
        <v>90</v>
      </c>
      <c r="AV168" s="12" t="s">
        <v>88</v>
      </c>
      <c r="AW168" s="12" t="s">
        <v>35</v>
      </c>
      <c r="AX168" s="12" t="s">
        <v>80</v>
      </c>
      <c r="AY168" s="149" t="s">
        <v>126</v>
      </c>
    </row>
    <row r="169" spans="2:65" s="13" customFormat="1" ht="11.25">
      <c r="B169" s="154"/>
      <c r="D169" s="143" t="s">
        <v>138</v>
      </c>
      <c r="E169" s="155" t="s">
        <v>1</v>
      </c>
      <c r="F169" s="156" t="s">
        <v>362</v>
      </c>
      <c r="H169" s="157">
        <v>100</v>
      </c>
      <c r="I169" s="158"/>
      <c r="L169" s="154"/>
      <c r="M169" s="159"/>
      <c r="T169" s="160"/>
      <c r="AT169" s="155" t="s">
        <v>138</v>
      </c>
      <c r="AU169" s="155" t="s">
        <v>90</v>
      </c>
      <c r="AV169" s="13" t="s">
        <v>90</v>
      </c>
      <c r="AW169" s="13" t="s">
        <v>35</v>
      </c>
      <c r="AX169" s="13" t="s">
        <v>88</v>
      </c>
      <c r="AY169" s="155" t="s">
        <v>126</v>
      </c>
    </row>
    <row r="170" spans="2:65" s="1" customFormat="1" ht="24.2" customHeight="1">
      <c r="B170" s="30"/>
      <c r="C170" s="130" t="s">
        <v>169</v>
      </c>
      <c r="D170" s="130" t="s">
        <v>128</v>
      </c>
      <c r="E170" s="131" t="s">
        <v>363</v>
      </c>
      <c r="F170" s="132" t="s">
        <v>364</v>
      </c>
      <c r="G170" s="133" t="s">
        <v>256</v>
      </c>
      <c r="H170" s="134">
        <v>20</v>
      </c>
      <c r="I170" s="135"/>
      <c r="J170" s="136">
        <f>ROUND(I170*H170,2)</f>
        <v>0</v>
      </c>
      <c r="K170" s="132" t="s">
        <v>132</v>
      </c>
      <c r="L170" s="30"/>
      <c r="M170" s="137" t="s">
        <v>1</v>
      </c>
      <c r="N170" s="138" t="s">
        <v>45</v>
      </c>
      <c r="P170" s="139">
        <f>O170*H170</f>
        <v>0</v>
      </c>
      <c r="Q170" s="139">
        <v>0</v>
      </c>
      <c r="R170" s="139">
        <f>Q170*H170</f>
        <v>0</v>
      </c>
      <c r="S170" s="139">
        <v>0</v>
      </c>
      <c r="T170" s="140">
        <f>S170*H170</f>
        <v>0</v>
      </c>
      <c r="AR170" s="141" t="s">
        <v>133</v>
      </c>
      <c r="AT170" s="141" t="s">
        <v>128</v>
      </c>
      <c r="AU170" s="141" t="s">
        <v>90</v>
      </c>
      <c r="AY170" s="15" t="s">
        <v>126</v>
      </c>
      <c r="BE170" s="142">
        <f>IF(N170="základní",J170,0)</f>
        <v>0</v>
      </c>
      <c r="BF170" s="142">
        <f>IF(N170="snížená",J170,0)</f>
        <v>0</v>
      </c>
      <c r="BG170" s="142">
        <f>IF(N170="zákl. přenesená",J170,0)</f>
        <v>0</v>
      </c>
      <c r="BH170" s="142">
        <f>IF(N170="sníž. přenesená",J170,0)</f>
        <v>0</v>
      </c>
      <c r="BI170" s="142">
        <f>IF(N170="nulová",J170,0)</f>
        <v>0</v>
      </c>
      <c r="BJ170" s="15" t="s">
        <v>88</v>
      </c>
      <c r="BK170" s="142">
        <f>ROUND(I170*H170,2)</f>
        <v>0</v>
      </c>
      <c r="BL170" s="15" t="s">
        <v>133</v>
      </c>
      <c r="BM170" s="141" t="s">
        <v>365</v>
      </c>
    </row>
    <row r="171" spans="2:65" s="1" customFormat="1" ht="19.5">
      <c r="B171" s="30"/>
      <c r="D171" s="143" t="s">
        <v>135</v>
      </c>
      <c r="F171" s="144" t="s">
        <v>364</v>
      </c>
      <c r="I171" s="145"/>
      <c r="L171" s="30"/>
      <c r="M171" s="146"/>
      <c r="T171" s="54"/>
      <c r="AT171" s="15" t="s">
        <v>135</v>
      </c>
      <c r="AU171" s="15" t="s">
        <v>90</v>
      </c>
    </row>
    <row r="172" spans="2:65" s="1" customFormat="1" ht="48.75">
      <c r="B172" s="30"/>
      <c r="D172" s="143" t="s">
        <v>136</v>
      </c>
      <c r="F172" s="147" t="s">
        <v>366</v>
      </c>
      <c r="I172" s="145"/>
      <c r="L172" s="30"/>
      <c r="M172" s="146"/>
      <c r="T172" s="54"/>
      <c r="AT172" s="15" t="s">
        <v>136</v>
      </c>
      <c r="AU172" s="15" t="s">
        <v>90</v>
      </c>
    </row>
    <row r="173" spans="2:65" s="12" customFormat="1" ht="11.25">
      <c r="B173" s="148"/>
      <c r="D173" s="143" t="s">
        <v>138</v>
      </c>
      <c r="E173" s="149" t="s">
        <v>1</v>
      </c>
      <c r="F173" s="150" t="s">
        <v>367</v>
      </c>
      <c r="H173" s="149" t="s">
        <v>1</v>
      </c>
      <c r="I173" s="151"/>
      <c r="L173" s="148"/>
      <c r="M173" s="152"/>
      <c r="T173" s="153"/>
      <c r="AT173" s="149" t="s">
        <v>138</v>
      </c>
      <c r="AU173" s="149" t="s">
        <v>90</v>
      </c>
      <c r="AV173" s="12" t="s">
        <v>88</v>
      </c>
      <c r="AW173" s="12" t="s">
        <v>35</v>
      </c>
      <c r="AX173" s="12" t="s">
        <v>80</v>
      </c>
      <c r="AY173" s="149" t="s">
        <v>126</v>
      </c>
    </row>
    <row r="174" spans="2:65" s="13" customFormat="1" ht="11.25">
      <c r="B174" s="154"/>
      <c r="D174" s="143" t="s">
        <v>138</v>
      </c>
      <c r="E174" s="155" t="s">
        <v>1</v>
      </c>
      <c r="F174" s="156" t="s">
        <v>368</v>
      </c>
      <c r="H174" s="157">
        <v>20</v>
      </c>
      <c r="I174" s="158"/>
      <c r="L174" s="154"/>
      <c r="M174" s="159"/>
      <c r="T174" s="160"/>
      <c r="AT174" s="155" t="s">
        <v>138</v>
      </c>
      <c r="AU174" s="155" t="s">
        <v>90</v>
      </c>
      <c r="AV174" s="13" t="s">
        <v>90</v>
      </c>
      <c r="AW174" s="13" t="s">
        <v>35</v>
      </c>
      <c r="AX174" s="13" t="s">
        <v>88</v>
      </c>
      <c r="AY174" s="155" t="s">
        <v>126</v>
      </c>
    </row>
    <row r="175" spans="2:65" s="1" customFormat="1" ht="24.2" customHeight="1">
      <c r="B175" s="30"/>
      <c r="C175" s="130" t="s">
        <v>184</v>
      </c>
      <c r="D175" s="130" t="s">
        <v>128</v>
      </c>
      <c r="E175" s="131" t="s">
        <v>369</v>
      </c>
      <c r="F175" s="132" t="s">
        <v>370</v>
      </c>
      <c r="G175" s="133" t="s">
        <v>256</v>
      </c>
      <c r="H175" s="134">
        <v>20</v>
      </c>
      <c r="I175" s="135"/>
      <c r="J175" s="136">
        <f>ROUND(I175*H175,2)</f>
        <v>0</v>
      </c>
      <c r="K175" s="132" t="s">
        <v>132</v>
      </c>
      <c r="L175" s="30"/>
      <c r="M175" s="137" t="s">
        <v>1</v>
      </c>
      <c r="N175" s="138" t="s">
        <v>45</v>
      </c>
      <c r="P175" s="139">
        <f>O175*H175</f>
        <v>0</v>
      </c>
      <c r="Q175" s="139">
        <v>0</v>
      </c>
      <c r="R175" s="139">
        <f>Q175*H175</f>
        <v>0</v>
      </c>
      <c r="S175" s="139">
        <v>0</v>
      </c>
      <c r="T175" s="140">
        <f>S175*H175</f>
        <v>0</v>
      </c>
      <c r="AR175" s="141" t="s">
        <v>133</v>
      </c>
      <c r="AT175" s="141" t="s">
        <v>128</v>
      </c>
      <c r="AU175" s="141" t="s">
        <v>90</v>
      </c>
      <c r="AY175" s="15" t="s">
        <v>126</v>
      </c>
      <c r="BE175" s="142">
        <f>IF(N175="základní",J175,0)</f>
        <v>0</v>
      </c>
      <c r="BF175" s="142">
        <f>IF(N175="snížená",J175,0)</f>
        <v>0</v>
      </c>
      <c r="BG175" s="142">
        <f>IF(N175="zákl. přenesená",J175,0)</f>
        <v>0</v>
      </c>
      <c r="BH175" s="142">
        <f>IF(N175="sníž. přenesená",J175,0)</f>
        <v>0</v>
      </c>
      <c r="BI175" s="142">
        <f>IF(N175="nulová",J175,0)</f>
        <v>0</v>
      </c>
      <c r="BJ175" s="15" t="s">
        <v>88</v>
      </c>
      <c r="BK175" s="142">
        <f>ROUND(I175*H175,2)</f>
        <v>0</v>
      </c>
      <c r="BL175" s="15" t="s">
        <v>133</v>
      </c>
      <c r="BM175" s="141" t="s">
        <v>371</v>
      </c>
    </row>
    <row r="176" spans="2:65" s="1" customFormat="1" ht="11.25">
      <c r="B176" s="30"/>
      <c r="D176" s="143" t="s">
        <v>135</v>
      </c>
      <c r="F176" s="144" t="s">
        <v>370</v>
      </c>
      <c r="I176" s="145"/>
      <c r="L176" s="30"/>
      <c r="M176" s="146"/>
      <c r="T176" s="54"/>
      <c r="AT176" s="15" t="s">
        <v>135</v>
      </c>
      <c r="AU176" s="15" t="s">
        <v>90</v>
      </c>
    </row>
    <row r="177" spans="2:65" s="1" customFormat="1" ht="29.25">
      <c r="B177" s="30"/>
      <c r="D177" s="143" t="s">
        <v>136</v>
      </c>
      <c r="F177" s="147" t="s">
        <v>357</v>
      </c>
      <c r="I177" s="145"/>
      <c r="L177" s="30"/>
      <c r="M177" s="146"/>
      <c r="T177" s="54"/>
      <c r="AT177" s="15" t="s">
        <v>136</v>
      </c>
      <c r="AU177" s="15" t="s">
        <v>90</v>
      </c>
    </row>
    <row r="178" spans="2:65" s="12" customFormat="1" ht="11.25">
      <c r="B178" s="148"/>
      <c r="D178" s="143" t="s">
        <v>138</v>
      </c>
      <c r="E178" s="149" t="s">
        <v>1</v>
      </c>
      <c r="F178" s="150" t="s">
        <v>367</v>
      </c>
      <c r="H178" s="149" t="s">
        <v>1</v>
      </c>
      <c r="I178" s="151"/>
      <c r="L178" s="148"/>
      <c r="M178" s="152"/>
      <c r="T178" s="153"/>
      <c r="AT178" s="149" t="s">
        <v>138</v>
      </c>
      <c r="AU178" s="149" t="s">
        <v>90</v>
      </c>
      <c r="AV178" s="12" t="s">
        <v>88</v>
      </c>
      <c r="AW178" s="12" t="s">
        <v>35</v>
      </c>
      <c r="AX178" s="12" t="s">
        <v>80</v>
      </c>
      <c r="AY178" s="149" t="s">
        <v>126</v>
      </c>
    </row>
    <row r="179" spans="2:65" s="13" customFormat="1" ht="11.25">
      <c r="B179" s="154"/>
      <c r="D179" s="143" t="s">
        <v>138</v>
      </c>
      <c r="E179" s="155" t="s">
        <v>1</v>
      </c>
      <c r="F179" s="156" t="s">
        <v>368</v>
      </c>
      <c r="H179" s="157">
        <v>20</v>
      </c>
      <c r="I179" s="158"/>
      <c r="L179" s="154"/>
      <c r="M179" s="159"/>
      <c r="T179" s="160"/>
      <c r="AT179" s="155" t="s">
        <v>138</v>
      </c>
      <c r="AU179" s="155" t="s">
        <v>90</v>
      </c>
      <c r="AV179" s="13" t="s">
        <v>90</v>
      </c>
      <c r="AW179" s="13" t="s">
        <v>35</v>
      </c>
      <c r="AX179" s="13" t="s">
        <v>88</v>
      </c>
      <c r="AY179" s="155" t="s">
        <v>126</v>
      </c>
    </row>
    <row r="180" spans="2:65" s="1" customFormat="1" ht="24.2" customHeight="1">
      <c r="B180" s="30"/>
      <c r="C180" s="130" t="s">
        <v>8</v>
      </c>
      <c r="D180" s="130" t="s">
        <v>128</v>
      </c>
      <c r="E180" s="131" t="s">
        <v>372</v>
      </c>
      <c r="F180" s="132" t="s">
        <v>373</v>
      </c>
      <c r="G180" s="133" t="s">
        <v>332</v>
      </c>
      <c r="H180" s="134">
        <v>400</v>
      </c>
      <c r="I180" s="135"/>
      <c r="J180" s="136">
        <f>ROUND(I180*H180,2)</f>
        <v>0</v>
      </c>
      <c r="K180" s="132" t="s">
        <v>132</v>
      </c>
      <c r="L180" s="30"/>
      <c r="M180" s="137" t="s">
        <v>1</v>
      </c>
      <c r="N180" s="138" t="s">
        <v>45</v>
      </c>
      <c r="P180" s="139">
        <f>O180*H180</f>
        <v>0</v>
      </c>
      <c r="Q180" s="139">
        <v>0</v>
      </c>
      <c r="R180" s="139">
        <f>Q180*H180</f>
        <v>0</v>
      </c>
      <c r="S180" s="139">
        <v>0</v>
      </c>
      <c r="T180" s="140">
        <f>S180*H180</f>
        <v>0</v>
      </c>
      <c r="AR180" s="141" t="s">
        <v>133</v>
      </c>
      <c r="AT180" s="141" t="s">
        <v>128</v>
      </c>
      <c r="AU180" s="141" t="s">
        <v>90</v>
      </c>
      <c r="AY180" s="15" t="s">
        <v>126</v>
      </c>
      <c r="BE180" s="142">
        <f>IF(N180="základní",J180,0)</f>
        <v>0</v>
      </c>
      <c r="BF180" s="142">
        <f>IF(N180="snížená",J180,0)</f>
        <v>0</v>
      </c>
      <c r="BG180" s="142">
        <f>IF(N180="zákl. přenesená",J180,0)</f>
        <v>0</v>
      </c>
      <c r="BH180" s="142">
        <f>IF(N180="sníž. přenesená",J180,0)</f>
        <v>0</v>
      </c>
      <c r="BI180" s="142">
        <f>IF(N180="nulová",J180,0)</f>
        <v>0</v>
      </c>
      <c r="BJ180" s="15" t="s">
        <v>88</v>
      </c>
      <c r="BK180" s="142">
        <f>ROUND(I180*H180,2)</f>
        <v>0</v>
      </c>
      <c r="BL180" s="15" t="s">
        <v>133</v>
      </c>
      <c r="BM180" s="141" t="s">
        <v>374</v>
      </c>
    </row>
    <row r="181" spans="2:65" s="1" customFormat="1" ht="11.25">
      <c r="B181" s="30"/>
      <c r="D181" s="143" t="s">
        <v>135</v>
      </c>
      <c r="F181" s="144" t="s">
        <v>373</v>
      </c>
      <c r="I181" s="145"/>
      <c r="L181" s="30"/>
      <c r="M181" s="146"/>
      <c r="T181" s="54"/>
      <c r="AT181" s="15" t="s">
        <v>135</v>
      </c>
      <c r="AU181" s="15" t="s">
        <v>90</v>
      </c>
    </row>
    <row r="182" spans="2:65" s="1" customFormat="1" ht="29.25">
      <c r="B182" s="30"/>
      <c r="D182" s="143" t="s">
        <v>136</v>
      </c>
      <c r="F182" s="147" t="s">
        <v>361</v>
      </c>
      <c r="I182" s="145"/>
      <c r="L182" s="30"/>
      <c r="M182" s="146"/>
      <c r="T182" s="54"/>
      <c r="AT182" s="15" t="s">
        <v>136</v>
      </c>
      <c r="AU182" s="15" t="s">
        <v>90</v>
      </c>
    </row>
    <row r="183" spans="2:65" s="12" customFormat="1" ht="11.25">
      <c r="B183" s="148"/>
      <c r="D183" s="143" t="s">
        <v>138</v>
      </c>
      <c r="E183" s="149" t="s">
        <v>1</v>
      </c>
      <c r="F183" s="150" t="s">
        <v>367</v>
      </c>
      <c r="H183" s="149" t="s">
        <v>1</v>
      </c>
      <c r="I183" s="151"/>
      <c r="L183" s="148"/>
      <c r="M183" s="152"/>
      <c r="T183" s="153"/>
      <c r="AT183" s="149" t="s">
        <v>138</v>
      </c>
      <c r="AU183" s="149" t="s">
        <v>90</v>
      </c>
      <c r="AV183" s="12" t="s">
        <v>88</v>
      </c>
      <c r="AW183" s="12" t="s">
        <v>35</v>
      </c>
      <c r="AX183" s="12" t="s">
        <v>80</v>
      </c>
      <c r="AY183" s="149" t="s">
        <v>126</v>
      </c>
    </row>
    <row r="184" spans="2:65" s="12" customFormat="1" ht="11.25">
      <c r="B184" s="148"/>
      <c r="D184" s="143" t="s">
        <v>138</v>
      </c>
      <c r="E184" s="149" t="s">
        <v>1</v>
      </c>
      <c r="F184" s="150" t="s">
        <v>375</v>
      </c>
      <c r="H184" s="149" t="s">
        <v>1</v>
      </c>
      <c r="I184" s="151"/>
      <c r="L184" s="148"/>
      <c r="M184" s="152"/>
      <c r="T184" s="153"/>
      <c r="AT184" s="149" t="s">
        <v>138</v>
      </c>
      <c r="AU184" s="149" t="s">
        <v>90</v>
      </c>
      <c r="AV184" s="12" t="s">
        <v>88</v>
      </c>
      <c r="AW184" s="12" t="s">
        <v>35</v>
      </c>
      <c r="AX184" s="12" t="s">
        <v>80</v>
      </c>
      <c r="AY184" s="149" t="s">
        <v>126</v>
      </c>
    </row>
    <row r="185" spans="2:65" s="13" customFormat="1" ht="11.25">
      <c r="B185" s="154"/>
      <c r="D185" s="143" t="s">
        <v>138</v>
      </c>
      <c r="E185" s="155" t="s">
        <v>1</v>
      </c>
      <c r="F185" s="156" t="s">
        <v>376</v>
      </c>
      <c r="H185" s="157">
        <v>400</v>
      </c>
      <c r="I185" s="158"/>
      <c r="L185" s="154"/>
      <c r="M185" s="159"/>
      <c r="T185" s="160"/>
      <c r="AT185" s="155" t="s">
        <v>138</v>
      </c>
      <c r="AU185" s="155" t="s">
        <v>90</v>
      </c>
      <c r="AV185" s="13" t="s">
        <v>90</v>
      </c>
      <c r="AW185" s="13" t="s">
        <v>35</v>
      </c>
      <c r="AX185" s="13" t="s">
        <v>88</v>
      </c>
      <c r="AY185" s="155" t="s">
        <v>126</v>
      </c>
    </row>
    <row r="186" spans="2:65" s="1" customFormat="1" ht="24.2" customHeight="1">
      <c r="B186" s="30"/>
      <c r="C186" s="130" t="s">
        <v>377</v>
      </c>
      <c r="D186" s="130" t="s">
        <v>128</v>
      </c>
      <c r="E186" s="131" t="s">
        <v>378</v>
      </c>
      <c r="F186" s="132" t="s">
        <v>379</v>
      </c>
      <c r="G186" s="133" t="s">
        <v>256</v>
      </c>
      <c r="H186" s="134">
        <v>4</v>
      </c>
      <c r="I186" s="135"/>
      <c r="J186" s="136">
        <f>ROUND(I186*H186,2)</f>
        <v>0</v>
      </c>
      <c r="K186" s="132" t="s">
        <v>132</v>
      </c>
      <c r="L186" s="30"/>
      <c r="M186" s="137" t="s">
        <v>1</v>
      </c>
      <c r="N186" s="138" t="s">
        <v>45</v>
      </c>
      <c r="P186" s="139">
        <f>O186*H186</f>
        <v>0</v>
      </c>
      <c r="Q186" s="139">
        <v>0</v>
      </c>
      <c r="R186" s="139">
        <f>Q186*H186</f>
        <v>0</v>
      </c>
      <c r="S186" s="139">
        <v>0</v>
      </c>
      <c r="T186" s="140">
        <f>S186*H186</f>
        <v>0</v>
      </c>
      <c r="AR186" s="141" t="s">
        <v>133</v>
      </c>
      <c r="AT186" s="141" t="s">
        <v>128</v>
      </c>
      <c r="AU186" s="141" t="s">
        <v>90</v>
      </c>
      <c r="AY186" s="15" t="s">
        <v>126</v>
      </c>
      <c r="BE186" s="142">
        <f>IF(N186="základní",J186,0)</f>
        <v>0</v>
      </c>
      <c r="BF186" s="142">
        <f>IF(N186="snížená",J186,0)</f>
        <v>0</v>
      </c>
      <c r="BG186" s="142">
        <f>IF(N186="zákl. přenesená",J186,0)</f>
        <v>0</v>
      </c>
      <c r="BH186" s="142">
        <f>IF(N186="sníž. přenesená",J186,0)</f>
        <v>0</v>
      </c>
      <c r="BI186" s="142">
        <f>IF(N186="nulová",J186,0)</f>
        <v>0</v>
      </c>
      <c r="BJ186" s="15" t="s">
        <v>88</v>
      </c>
      <c r="BK186" s="142">
        <f>ROUND(I186*H186,2)</f>
        <v>0</v>
      </c>
      <c r="BL186" s="15" t="s">
        <v>133</v>
      </c>
      <c r="BM186" s="141" t="s">
        <v>380</v>
      </c>
    </row>
    <row r="187" spans="2:65" s="1" customFormat="1" ht="11.25">
      <c r="B187" s="30"/>
      <c r="D187" s="143" t="s">
        <v>135</v>
      </c>
      <c r="F187" s="144" t="s">
        <v>379</v>
      </c>
      <c r="I187" s="145"/>
      <c r="L187" s="30"/>
      <c r="M187" s="146"/>
      <c r="T187" s="54"/>
      <c r="AT187" s="15" t="s">
        <v>135</v>
      </c>
      <c r="AU187" s="15" t="s">
        <v>90</v>
      </c>
    </row>
    <row r="188" spans="2:65" s="1" customFormat="1" ht="48.75">
      <c r="B188" s="30"/>
      <c r="D188" s="143" t="s">
        <v>136</v>
      </c>
      <c r="F188" s="147" t="s">
        <v>366</v>
      </c>
      <c r="I188" s="145"/>
      <c r="L188" s="30"/>
      <c r="M188" s="146"/>
      <c r="T188" s="54"/>
      <c r="AT188" s="15" t="s">
        <v>136</v>
      </c>
      <c r="AU188" s="15" t="s">
        <v>90</v>
      </c>
    </row>
    <row r="189" spans="2:65" s="12" customFormat="1" ht="11.25">
      <c r="B189" s="148"/>
      <c r="D189" s="143" t="s">
        <v>138</v>
      </c>
      <c r="E189" s="149" t="s">
        <v>1</v>
      </c>
      <c r="F189" s="150" t="s">
        <v>260</v>
      </c>
      <c r="H189" s="149" t="s">
        <v>1</v>
      </c>
      <c r="I189" s="151"/>
      <c r="L189" s="148"/>
      <c r="M189" s="152"/>
      <c r="T189" s="153"/>
      <c r="AT189" s="149" t="s">
        <v>138</v>
      </c>
      <c r="AU189" s="149" t="s">
        <v>90</v>
      </c>
      <c r="AV189" s="12" t="s">
        <v>88</v>
      </c>
      <c r="AW189" s="12" t="s">
        <v>35</v>
      </c>
      <c r="AX189" s="12" t="s">
        <v>80</v>
      </c>
      <c r="AY189" s="149" t="s">
        <v>126</v>
      </c>
    </row>
    <row r="190" spans="2:65" s="13" customFormat="1" ht="11.25">
      <c r="B190" s="154"/>
      <c r="D190" s="143" t="s">
        <v>138</v>
      </c>
      <c r="E190" s="155" t="s">
        <v>1</v>
      </c>
      <c r="F190" s="156" t="s">
        <v>133</v>
      </c>
      <c r="H190" s="157">
        <v>4</v>
      </c>
      <c r="I190" s="158"/>
      <c r="L190" s="154"/>
      <c r="M190" s="159"/>
      <c r="T190" s="160"/>
      <c r="AT190" s="155" t="s">
        <v>138</v>
      </c>
      <c r="AU190" s="155" t="s">
        <v>90</v>
      </c>
      <c r="AV190" s="13" t="s">
        <v>90</v>
      </c>
      <c r="AW190" s="13" t="s">
        <v>35</v>
      </c>
      <c r="AX190" s="13" t="s">
        <v>88</v>
      </c>
      <c r="AY190" s="155" t="s">
        <v>126</v>
      </c>
    </row>
    <row r="191" spans="2:65" s="1" customFormat="1" ht="21.75" customHeight="1">
      <c r="B191" s="30"/>
      <c r="C191" s="130" t="s">
        <v>299</v>
      </c>
      <c r="D191" s="130" t="s">
        <v>128</v>
      </c>
      <c r="E191" s="131" t="s">
        <v>381</v>
      </c>
      <c r="F191" s="132" t="s">
        <v>382</v>
      </c>
      <c r="G191" s="133" t="s">
        <v>256</v>
      </c>
      <c r="H191" s="134">
        <v>4</v>
      </c>
      <c r="I191" s="135"/>
      <c r="J191" s="136">
        <f>ROUND(I191*H191,2)</f>
        <v>0</v>
      </c>
      <c r="K191" s="132" t="s">
        <v>132</v>
      </c>
      <c r="L191" s="30"/>
      <c r="M191" s="137" t="s">
        <v>1</v>
      </c>
      <c r="N191" s="138" t="s">
        <v>45</v>
      </c>
      <c r="P191" s="139">
        <f>O191*H191</f>
        <v>0</v>
      </c>
      <c r="Q191" s="139">
        <v>0</v>
      </c>
      <c r="R191" s="139">
        <f>Q191*H191</f>
        <v>0</v>
      </c>
      <c r="S191" s="139">
        <v>0</v>
      </c>
      <c r="T191" s="140">
        <f>S191*H191</f>
        <v>0</v>
      </c>
      <c r="AR191" s="141" t="s">
        <v>133</v>
      </c>
      <c r="AT191" s="141" t="s">
        <v>128</v>
      </c>
      <c r="AU191" s="141" t="s">
        <v>90</v>
      </c>
      <c r="AY191" s="15" t="s">
        <v>126</v>
      </c>
      <c r="BE191" s="142">
        <f>IF(N191="základní",J191,0)</f>
        <v>0</v>
      </c>
      <c r="BF191" s="142">
        <f>IF(N191="snížená",J191,0)</f>
        <v>0</v>
      </c>
      <c r="BG191" s="142">
        <f>IF(N191="zákl. přenesená",J191,0)</f>
        <v>0</v>
      </c>
      <c r="BH191" s="142">
        <f>IF(N191="sníž. přenesená",J191,0)</f>
        <v>0</v>
      </c>
      <c r="BI191" s="142">
        <f>IF(N191="nulová",J191,0)</f>
        <v>0</v>
      </c>
      <c r="BJ191" s="15" t="s">
        <v>88</v>
      </c>
      <c r="BK191" s="142">
        <f>ROUND(I191*H191,2)</f>
        <v>0</v>
      </c>
      <c r="BL191" s="15" t="s">
        <v>133</v>
      </c>
      <c r="BM191" s="141" t="s">
        <v>383</v>
      </c>
    </row>
    <row r="192" spans="2:65" s="1" customFormat="1" ht="11.25">
      <c r="B192" s="30"/>
      <c r="D192" s="143" t="s">
        <v>135</v>
      </c>
      <c r="F192" s="144" t="s">
        <v>382</v>
      </c>
      <c r="I192" s="145"/>
      <c r="L192" s="30"/>
      <c r="M192" s="146"/>
      <c r="T192" s="54"/>
      <c r="AT192" s="15" t="s">
        <v>135</v>
      </c>
      <c r="AU192" s="15" t="s">
        <v>90</v>
      </c>
    </row>
    <row r="193" spans="2:65" s="1" customFormat="1" ht="29.25">
      <c r="B193" s="30"/>
      <c r="D193" s="143" t="s">
        <v>136</v>
      </c>
      <c r="F193" s="147" t="s">
        <v>357</v>
      </c>
      <c r="I193" s="145"/>
      <c r="L193" s="30"/>
      <c r="M193" s="146"/>
      <c r="T193" s="54"/>
      <c r="AT193" s="15" t="s">
        <v>136</v>
      </c>
      <c r="AU193" s="15" t="s">
        <v>90</v>
      </c>
    </row>
    <row r="194" spans="2:65" s="12" customFormat="1" ht="11.25">
      <c r="B194" s="148"/>
      <c r="D194" s="143" t="s">
        <v>138</v>
      </c>
      <c r="E194" s="149" t="s">
        <v>1</v>
      </c>
      <c r="F194" s="150" t="s">
        <v>260</v>
      </c>
      <c r="H194" s="149" t="s">
        <v>1</v>
      </c>
      <c r="I194" s="151"/>
      <c r="L194" s="148"/>
      <c r="M194" s="152"/>
      <c r="T194" s="153"/>
      <c r="AT194" s="149" t="s">
        <v>138</v>
      </c>
      <c r="AU194" s="149" t="s">
        <v>90</v>
      </c>
      <c r="AV194" s="12" t="s">
        <v>88</v>
      </c>
      <c r="AW194" s="12" t="s">
        <v>35</v>
      </c>
      <c r="AX194" s="12" t="s">
        <v>80</v>
      </c>
      <c r="AY194" s="149" t="s">
        <v>126</v>
      </c>
    </row>
    <row r="195" spans="2:65" s="13" customFormat="1" ht="11.25">
      <c r="B195" s="154"/>
      <c r="D195" s="143" t="s">
        <v>138</v>
      </c>
      <c r="E195" s="155" t="s">
        <v>1</v>
      </c>
      <c r="F195" s="156" t="s">
        <v>133</v>
      </c>
      <c r="H195" s="157">
        <v>4</v>
      </c>
      <c r="I195" s="158"/>
      <c r="L195" s="154"/>
      <c r="M195" s="159"/>
      <c r="T195" s="160"/>
      <c r="AT195" s="155" t="s">
        <v>138</v>
      </c>
      <c r="AU195" s="155" t="s">
        <v>90</v>
      </c>
      <c r="AV195" s="13" t="s">
        <v>90</v>
      </c>
      <c r="AW195" s="13" t="s">
        <v>35</v>
      </c>
      <c r="AX195" s="13" t="s">
        <v>88</v>
      </c>
      <c r="AY195" s="155" t="s">
        <v>126</v>
      </c>
    </row>
    <row r="196" spans="2:65" s="1" customFormat="1" ht="24.2" customHeight="1">
      <c r="B196" s="30"/>
      <c r="C196" s="130" t="s">
        <v>384</v>
      </c>
      <c r="D196" s="130" t="s">
        <v>128</v>
      </c>
      <c r="E196" s="131" t="s">
        <v>385</v>
      </c>
      <c r="F196" s="132" t="s">
        <v>386</v>
      </c>
      <c r="G196" s="133" t="s">
        <v>332</v>
      </c>
      <c r="H196" s="134">
        <v>100</v>
      </c>
      <c r="I196" s="135"/>
      <c r="J196" s="136">
        <f>ROUND(I196*H196,2)</f>
        <v>0</v>
      </c>
      <c r="K196" s="132" t="s">
        <v>132</v>
      </c>
      <c r="L196" s="30"/>
      <c r="M196" s="137" t="s">
        <v>1</v>
      </c>
      <c r="N196" s="138" t="s">
        <v>45</v>
      </c>
      <c r="P196" s="139">
        <f>O196*H196</f>
        <v>0</v>
      </c>
      <c r="Q196" s="139">
        <v>0</v>
      </c>
      <c r="R196" s="139">
        <f>Q196*H196</f>
        <v>0</v>
      </c>
      <c r="S196" s="139">
        <v>0</v>
      </c>
      <c r="T196" s="140">
        <f>S196*H196</f>
        <v>0</v>
      </c>
      <c r="AR196" s="141" t="s">
        <v>133</v>
      </c>
      <c r="AT196" s="141" t="s">
        <v>128</v>
      </c>
      <c r="AU196" s="141" t="s">
        <v>90</v>
      </c>
      <c r="AY196" s="15" t="s">
        <v>126</v>
      </c>
      <c r="BE196" s="142">
        <f>IF(N196="základní",J196,0)</f>
        <v>0</v>
      </c>
      <c r="BF196" s="142">
        <f>IF(N196="snížená",J196,0)</f>
        <v>0</v>
      </c>
      <c r="BG196" s="142">
        <f>IF(N196="zákl. přenesená",J196,0)</f>
        <v>0</v>
      </c>
      <c r="BH196" s="142">
        <f>IF(N196="sníž. přenesená",J196,0)</f>
        <v>0</v>
      </c>
      <c r="BI196" s="142">
        <f>IF(N196="nulová",J196,0)</f>
        <v>0</v>
      </c>
      <c r="BJ196" s="15" t="s">
        <v>88</v>
      </c>
      <c r="BK196" s="142">
        <f>ROUND(I196*H196,2)</f>
        <v>0</v>
      </c>
      <c r="BL196" s="15" t="s">
        <v>133</v>
      </c>
      <c r="BM196" s="141" t="s">
        <v>387</v>
      </c>
    </row>
    <row r="197" spans="2:65" s="1" customFormat="1" ht="11.25">
      <c r="B197" s="30"/>
      <c r="D197" s="143" t="s">
        <v>135</v>
      </c>
      <c r="F197" s="144" t="s">
        <v>386</v>
      </c>
      <c r="I197" s="145"/>
      <c r="L197" s="30"/>
      <c r="M197" s="146"/>
      <c r="T197" s="54"/>
      <c r="AT197" s="15" t="s">
        <v>135</v>
      </c>
      <c r="AU197" s="15" t="s">
        <v>90</v>
      </c>
    </row>
    <row r="198" spans="2:65" s="1" customFormat="1" ht="29.25">
      <c r="B198" s="30"/>
      <c r="D198" s="143" t="s">
        <v>136</v>
      </c>
      <c r="F198" s="147" t="s">
        <v>361</v>
      </c>
      <c r="I198" s="145"/>
      <c r="L198" s="30"/>
      <c r="M198" s="146"/>
      <c r="T198" s="54"/>
      <c r="AT198" s="15" t="s">
        <v>136</v>
      </c>
      <c r="AU198" s="15" t="s">
        <v>90</v>
      </c>
    </row>
    <row r="199" spans="2:65" s="12" customFormat="1" ht="11.25">
      <c r="B199" s="148"/>
      <c r="D199" s="143" t="s">
        <v>138</v>
      </c>
      <c r="E199" s="149" t="s">
        <v>1</v>
      </c>
      <c r="F199" s="150" t="s">
        <v>260</v>
      </c>
      <c r="H199" s="149" t="s">
        <v>1</v>
      </c>
      <c r="I199" s="151"/>
      <c r="L199" s="148"/>
      <c r="M199" s="152"/>
      <c r="T199" s="153"/>
      <c r="AT199" s="149" t="s">
        <v>138</v>
      </c>
      <c r="AU199" s="149" t="s">
        <v>90</v>
      </c>
      <c r="AV199" s="12" t="s">
        <v>88</v>
      </c>
      <c r="AW199" s="12" t="s">
        <v>35</v>
      </c>
      <c r="AX199" s="12" t="s">
        <v>80</v>
      </c>
      <c r="AY199" s="149" t="s">
        <v>126</v>
      </c>
    </row>
    <row r="200" spans="2:65" s="12" customFormat="1" ht="11.25">
      <c r="B200" s="148"/>
      <c r="D200" s="143" t="s">
        <v>138</v>
      </c>
      <c r="E200" s="149" t="s">
        <v>1</v>
      </c>
      <c r="F200" s="150" t="s">
        <v>335</v>
      </c>
      <c r="H200" s="149" t="s">
        <v>1</v>
      </c>
      <c r="I200" s="151"/>
      <c r="L200" s="148"/>
      <c r="M200" s="152"/>
      <c r="T200" s="153"/>
      <c r="AT200" s="149" t="s">
        <v>138</v>
      </c>
      <c r="AU200" s="149" t="s">
        <v>90</v>
      </c>
      <c r="AV200" s="12" t="s">
        <v>88</v>
      </c>
      <c r="AW200" s="12" t="s">
        <v>35</v>
      </c>
      <c r="AX200" s="12" t="s">
        <v>80</v>
      </c>
      <c r="AY200" s="149" t="s">
        <v>126</v>
      </c>
    </row>
    <row r="201" spans="2:65" s="13" customFormat="1" ht="11.25">
      <c r="B201" s="154"/>
      <c r="D201" s="143" t="s">
        <v>138</v>
      </c>
      <c r="E201" s="155" t="s">
        <v>1</v>
      </c>
      <c r="F201" s="156" t="s">
        <v>362</v>
      </c>
      <c r="H201" s="157">
        <v>100</v>
      </c>
      <c r="I201" s="158"/>
      <c r="L201" s="154"/>
      <c r="M201" s="159"/>
      <c r="T201" s="160"/>
      <c r="AT201" s="155" t="s">
        <v>138</v>
      </c>
      <c r="AU201" s="155" t="s">
        <v>90</v>
      </c>
      <c r="AV201" s="13" t="s">
        <v>90</v>
      </c>
      <c r="AW201" s="13" t="s">
        <v>35</v>
      </c>
      <c r="AX201" s="13" t="s">
        <v>88</v>
      </c>
      <c r="AY201" s="155" t="s">
        <v>126</v>
      </c>
    </row>
    <row r="202" spans="2:65" s="1" customFormat="1" ht="24.2" customHeight="1">
      <c r="B202" s="30"/>
      <c r="C202" s="130" t="s">
        <v>388</v>
      </c>
      <c r="D202" s="130" t="s">
        <v>128</v>
      </c>
      <c r="E202" s="131" t="s">
        <v>389</v>
      </c>
      <c r="F202" s="132" t="s">
        <v>390</v>
      </c>
      <c r="G202" s="133" t="s">
        <v>256</v>
      </c>
      <c r="H202" s="134">
        <v>20</v>
      </c>
      <c r="I202" s="135"/>
      <c r="J202" s="136">
        <f>ROUND(I202*H202,2)</f>
        <v>0</v>
      </c>
      <c r="K202" s="132" t="s">
        <v>132</v>
      </c>
      <c r="L202" s="30"/>
      <c r="M202" s="137" t="s">
        <v>1</v>
      </c>
      <c r="N202" s="138" t="s">
        <v>45</v>
      </c>
      <c r="P202" s="139">
        <f>O202*H202</f>
        <v>0</v>
      </c>
      <c r="Q202" s="139">
        <v>0</v>
      </c>
      <c r="R202" s="139">
        <f>Q202*H202</f>
        <v>0</v>
      </c>
      <c r="S202" s="139">
        <v>0</v>
      </c>
      <c r="T202" s="140">
        <f>S202*H202</f>
        <v>0</v>
      </c>
      <c r="AR202" s="141" t="s">
        <v>133</v>
      </c>
      <c r="AT202" s="141" t="s">
        <v>128</v>
      </c>
      <c r="AU202" s="141" t="s">
        <v>90</v>
      </c>
      <c r="AY202" s="15" t="s">
        <v>126</v>
      </c>
      <c r="BE202" s="142">
        <f>IF(N202="základní",J202,0)</f>
        <v>0</v>
      </c>
      <c r="BF202" s="142">
        <f>IF(N202="snížená",J202,0)</f>
        <v>0</v>
      </c>
      <c r="BG202" s="142">
        <f>IF(N202="zákl. přenesená",J202,0)</f>
        <v>0</v>
      </c>
      <c r="BH202" s="142">
        <f>IF(N202="sníž. přenesená",J202,0)</f>
        <v>0</v>
      </c>
      <c r="BI202" s="142">
        <f>IF(N202="nulová",J202,0)</f>
        <v>0</v>
      </c>
      <c r="BJ202" s="15" t="s">
        <v>88</v>
      </c>
      <c r="BK202" s="142">
        <f>ROUND(I202*H202,2)</f>
        <v>0</v>
      </c>
      <c r="BL202" s="15" t="s">
        <v>133</v>
      </c>
      <c r="BM202" s="141" t="s">
        <v>391</v>
      </c>
    </row>
    <row r="203" spans="2:65" s="1" customFormat="1" ht="19.5">
      <c r="B203" s="30"/>
      <c r="D203" s="143" t="s">
        <v>135</v>
      </c>
      <c r="F203" s="144" t="s">
        <v>390</v>
      </c>
      <c r="I203" s="145"/>
      <c r="L203" s="30"/>
      <c r="M203" s="146"/>
      <c r="T203" s="54"/>
      <c r="AT203" s="15" t="s">
        <v>135</v>
      </c>
      <c r="AU203" s="15" t="s">
        <v>90</v>
      </c>
    </row>
    <row r="204" spans="2:65" s="1" customFormat="1" ht="48.75">
      <c r="B204" s="30"/>
      <c r="D204" s="143" t="s">
        <v>136</v>
      </c>
      <c r="F204" s="147" t="s">
        <v>366</v>
      </c>
      <c r="I204" s="145"/>
      <c r="L204" s="30"/>
      <c r="M204" s="146"/>
      <c r="T204" s="54"/>
      <c r="AT204" s="15" t="s">
        <v>136</v>
      </c>
      <c r="AU204" s="15" t="s">
        <v>90</v>
      </c>
    </row>
    <row r="205" spans="2:65" s="12" customFormat="1" ht="11.25">
      <c r="B205" s="148"/>
      <c r="D205" s="143" t="s">
        <v>138</v>
      </c>
      <c r="E205" s="149" t="s">
        <v>1</v>
      </c>
      <c r="F205" s="150" t="s">
        <v>367</v>
      </c>
      <c r="H205" s="149" t="s">
        <v>1</v>
      </c>
      <c r="I205" s="151"/>
      <c r="L205" s="148"/>
      <c r="M205" s="152"/>
      <c r="T205" s="153"/>
      <c r="AT205" s="149" t="s">
        <v>138</v>
      </c>
      <c r="AU205" s="149" t="s">
        <v>90</v>
      </c>
      <c r="AV205" s="12" t="s">
        <v>88</v>
      </c>
      <c r="AW205" s="12" t="s">
        <v>35</v>
      </c>
      <c r="AX205" s="12" t="s">
        <v>80</v>
      </c>
      <c r="AY205" s="149" t="s">
        <v>126</v>
      </c>
    </row>
    <row r="206" spans="2:65" s="13" customFormat="1" ht="11.25">
      <c r="B206" s="154"/>
      <c r="D206" s="143" t="s">
        <v>138</v>
      </c>
      <c r="E206" s="155" t="s">
        <v>1</v>
      </c>
      <c r="F206" s="156" t="s">
        <v>368</v>
      </c>
      <c r="H206" s="157">
        <v>20</v>
      </c>
      <c r="I206" s="158"/>
      <c r="L206" s="154"/>
      <c r="M206" s="159"/>
      <c r="T206" s="160"/>
      <c r="AT206" s="155" t="s">
        <v>138</v>
      </c>
      <c r="AU206" s="155" t="s">
        <v>90</v>
      </c>
      <c r="AV206" s="13" t="s">
        <v>90</v>
      </c>
      <c r="AW206" s="13" t="s">
        <v>35</v>
      </c>
      <c r="AX206" s="13" t="s">
        <v>88</v>
      </c>
      <c r="AY206" s="155" t="s">
        <v>126</v>
      </c>
    </row>
    <row r="207" spans="2:65" s="1" customFormat="1" ht="24.2" customHeight="1">
      <c r="B207" s="30"/>
      <c r="C207" s="130" t="s">
        <v>215</v>
      </c>
      <c r="D207" s="130" t="s">
        <v>128</v>
      </c>
      <c r="E207" s="131" t="s">
        <v>392</v>
      </c>
      <c r="F207" s="132" t="s">
        <v>393</v>
      </c>
      <c r="G207" s="133" t="s">
        <v>256</v>
      </c>
      <c r="H207" s="134">
        <v>20</v>
      </c>
      <c r="I207" s="135"/>
      <c r="J207" s="136">
        <f>ROUND(I207*H207,2)</f>
        <v>0</v>
      </c>
      <c r="K207" s="132" t="s">
        <v>132</v>
      </c>
      <c r="L207" s="30"/>
      <c r="M207" s="137" t="s">
        <v>1</v>
      </c>
      <c r="N207" s="138" t="s">
        <v>45</v>
      </c>
      <c r="P207" s="139">
        <f>O207*H207</f>
        <v>0</v>
      </c>
      <c r="Q207" s="139">
        <v>0</v>
      </c>
      <c r="R207" s="139">
        <f>Q207*H207</f>
        <v>0</v>
      </c>
      <c r="S207" s="139">
        <v>0</v>
      </c>
      <c r="T207" s="140">
        <f>S207*H207</f>
        <v>0</v>
      </c>
      <c r="AR207" s="141" t="s">
        <v>133</v>
      </c>
      <c r="AT207" s="141" t="s">
        <v>128</v>
      </c>
      <c r="AU207" s="141" t="s">
        <v>90</v>
      </c>
      <c r="AY207" s="15" t="s">
        <v>126</v>
      </c>
      <c r="BE207" s="142">
        <f>IF(N207="základní",J207,0)</f>
        <v>0</v>
      </c>
      <c r="BF207" s="142">
        <f>IF(N207="snížená",J207,0)</f>
        <v>0</v>
      </c>
      <c r="BG207" s="142">
        <f>IF(N207="zákl. přenesená",J207,0)</f>
        <v>0</v>
      </c>
      <c r="BH207" s="142">
        <f>IF(N207="sníž. přenesená",J207,0)</f>
        <v>0</v>
      </c>
      <c r="BI207" s="142">
        <f>IF(N207="nulová",J207,0)</f>
        <v>0</v>
      </c>
      <c r="BJ207" s="15" t="s">
        <v>88</v>
      </c>
      <c r="BK207" s="142">
        <f>ROUND(I207*H207,2)</f>
        <v>0</v>
      </c>
      <c r="BL207" s="15" t="s">
        <v>133</v>
      </c>
      <c r="BM207" s="141" t="s">
        <v>394</v>
      </c>
    </row>
    <row r="208" spans="2:65" s="1" customFormat="1" ht="11.25">
      <c r="B208" s="30"/>
      <c r="D208" s="143" t="s">
        <v>135</v>
      </c>
      <c r="F208" s="144" t="s">
        <v>393</v>
      </c>
      <c r="I208" s="145"/>
      <c r="L208" s="30"/>
      <c r="M208" s="146"/>
      <c r="T208" s="54"/>
      <c r="AT208" s="15" t="s">
        <v>135</v>
      </c>
      <c r="AU208" s="15" t="s">
        <v>90</v>
      </c>
    </row>
    <row r="209" spans="2:65" s="1" customFormat="1" ht="29.25">
      <c r="B209" s="30"/>
      <c r="D209" s="143" t="s">
        <v>136</v>
      </c>
      <c r="F209" s="147" t="s">
        <v>357</v>
      </c>
      <c r="I209" s="145"/>
      <c r="L209" s="30"/>
      <c r="M209" s="146"/>
      <c r="T209" s="54"/>
      <c r="AT209" s="15" t="s">
        <v>136</v>
      </c>
      <c r="AU209" s="15" t="s">
        <v>90</v>
      </c>
    </row>
    <row r="210" spans="2:65" s="12" customFormat="1" ht="11.25">
      <c r="B210" s="148"/>
      <c r="D210" s="143" t="s">
        <v>138</v>
      </c>
      <c r="E210" s="149" t="s">
        <v>1</v>
      </c>
      <c r="F210" s="150" t="s">
        <v>367</v>
      </c>
      <c r="H210" s="149" t="s">
        <v>1</v>
      </c>
      <c r="I210" s="151"/>
      <c r="L210" s="148"/>
      <c r="M210" s="152"/>
      <c r="T210" s="153"/>
      <c r="AT210" s="149" t="s">
        <v>138</v>
      </c>
      <c r="AU210" s="149" t="s">
        <v>90</v>
      </c>
      <c r="AV210" s="12" t="s">
        <v>88</v>
      </c>
      <c r="AW210" s="12" t="s">
        <v>35</v>
      </c>
      <c r="AX210" s="12" t="s">
        <v>80</v>
      </c>
      <c r="AY210" s="149" t="s">
        <v>126</v>
      </c>
    </row>
    <row r="211" spans="2:65" s="13" customFormat="1" ht="11.25">
      <c r="B211" s="154"/>
      <c r="D211" s="143" t="s">
        <v>138</v>
      </c>
      <c r="E211" s="155" t="s">
        <v>1</v>
      </c>
      <c r="F211" s="156" t="s">
        <v>368</v>
      </c>
      <c r="H211" s="157">
        <v>20</v>
      </c>
      <c r="I211" s="158"/>
      <c r="L211" s="154"/>
      <c r="M211" s="159"/>
      <c r="T211" s="160"/>
      <c r="AT211" s="155" t="s">
        <v>138</v>
      </c>
      <c r="AU211" s="155" t="s">
        <v>90</v>
      </c>
      <c r="AV211" s="13" t="s">
        <v>90</v>
      </c>
      <c r="AW211" s="13" t="s">
        <v>35</v>
      </c>
      <c r="AX211" s="13" t="s">
        <v>88</v>
      </c>
      <c r="AY211" s="155" t="s">
        <v>126</v>
      </c>
    </row>
    <row r="212" spans="2:65" s="1" customFormat="1" ht="24.2" customHeight="1">
      <c r="B212" s="30"/>
      <c r="C212" s="130" t="s">
        <v>395</v>
      </c>
      <c r="D212" s="130" t="s">
        <v>128</v>
      </c>
      <c r="E212" s="131" t="s">
        <v>396</v>
      </c>
      <c r="F212" s="132" t="s">
        <v>397</v>
      </c>
      <c r="G212" s="133" t="s">
        <v>332</v>
      </c>
      <c r="H212" s="134">
        <v>400</v>
      </c>
      <c r="I212" s="135"/>
      <c r="J212" s="136">
        <f>ROUND(I212*H212,2)</f>
        <v>0</v>
      </c>
      <c r="K212" s="132" t="s">
        <v>132</v>
      </c>
      <c r="L212" s="30"/>
      <c r="M212" s="137" t="s">
        <v>1</v>
      </c>
      <c r="N212" s="138" t="s">
        <v>45</v>
      </c>
      <c r="P212" s="139">
        <f>O212*H212</f>
        <v>0</v>
      </c>
      <c r="Q212" s="139">
        <v>0</v>
      </c>
      <c r="R212" s="139">
        <f>Q212*H212</f>
        <v>0</v>
      </c>
      <c r="S212" s="139">
        <v>0</v>
      </c>
      <c r="T212" s="140">
        <f>S212*H212</f>
        <v>0</v>
      </c>
      <c r="AR212" s="141" t="s">
        <v>133</v>
      </c>
      <c r="AT212" s="141" t="s">
        <v>128</v>
      </c>
      <c r="AU212" s="141" t="s">
        <v>90</v>
      </c>
      <c r="AY212" s="15" t="s">
        <v>126</v>
      </c>
      <c r="BE212" s="142">
        <f>IF(N212="základní",J212,0)</f>
        <v>0</v>
      </c>
      <c r="BF212" s="142">
        <f>IF(N212="snížená",J212,0)</f>
        <v>0</v>
      </c>
      <c r="BG212" s="142">
        <f>IF(N212="zákl. přenesená",J212,0)</f>
        <v>0</v>
      </c>
      <c r="BH212" s="142">
        <f>IF(N212="sníž. přenesená",J212,0)</f>
        <v>0</v>
      </c>
      <c r="BI212" s="142">
        <f>IF(N212="nulová",J212,0)</f>
        <v>0</v>
      </c>
      <c r="BJ212" s="15" t="s">
        <v>88</v>
      </c>
      <c r="BK212" s="142">
        <f>ROUND(I212*H212,2)</f>
        <v>0</v>
      </c>
      <c r="BL212" s="15" t="s">
        <v>133</v>
      </c>
      <c r="BM212" s="141" t="s">
        <v>398</v>
      </c>
    </row>
    <row r="213" spans="2:65" s="1" customFormat="1" ht="11.25">
      <c r="B213" s="30"/>
      <c r="D213" s="143" t="s">
        <v>135</v>
      </c>
      <c r="F213" s="144" t="s">
        <v>397</v>
      </c>
      <c r="I213" s="145"/>
      <c r="L213" s="30"/>
      <c r="M213" s="146"/>
      <c r="T213" s="54"/>
      <c r="AT213" s="15" t="s">
        <v>135</v>
      </c>
      <c r="AU213" s="15" t="s">
        <v>90</v>
      </c>
    </row>
    <row r="214" spans="2:65" s="1" customFormat="1" ht="29.25">
      <c r="B214" s="30"/>
      <c r="D214" s="143" t="s">
        <v>136</v>
      </c>
      <c r="F214" s="147" t="s">
        <v>361</v>
      </c>
      <c r="I214" s="145"/>
      <c r="L214" s="30"/>
      <c r="M214" s="146"/>
      <c r="T214" s="54"/>
      <c r="AT214" s="15" t="s">
        <v>136</v>
      </c>
      <c r="AU214" s="15" t="s">
        <v>90</v>
      </c>
    </row>
    <row r="215" spans="2:65" s="12" customFormat="1" ht="11.25">
      <c r="B215" s="148"/>
      <c r="D215" s="143" t="s">
        <v>138</v>
      </c>
      <c r="E215" s="149" t="s">
        <v>1</v>
      </c>
      <c r="F215" s="150" t="s">
        <v>367</v>
      </c>
      <c r="H215" s="149" t="s">
        <v>1</v>
      </c>
      <c r="I215" s="151"/>
      <c r="L215" s="148"/>
      <c r="M215" s="152"/>
      <c r="T215" s="153"/>
      <c r="AT215" s="149" t="s">
        <v>138</v>
      </c>
      <c r="AU215" s="149" t="s">
        <v>90</v>
      </c>
      <c r="AV215" s="12" t="s">
        <v>88</v>
      </c>
      <c r="AW215" s="12" t="s">
        <v>35</v>
      </c>
      <c r="AX215" s="12" t="s">
        <v>80</v>
      </c>
      <c r="AY215" s="149" t="s">
        <v>126</v>
      </c>
    </row>
    <row r="216" spans="2:65" s="12" customFormat="1" ht="11.25">
      <c r="B216" s="148"/>
      <c r="D216" s="143" t="s">
        <v>138</v>
      </c>
      <c r="E216" s="149" t="s">
        <v>1</v>
      </c>
      <c r="F216" s="150" t="s">
        <v>375</v>
      </c>
      <c r="H216" s="149" t="s">
        <v>1</v>
      </c>
      <c r="I216" s="151"/>
      <c r="L216" s="148"/>
      <c r="M216" s="152"/>
      <c r="T216" s="153"/>
      <c r="AT216" s="149" t="s">
        <v>138</v>
      </c>
      <c r="AU216" s="149" t="s">
        <v>90</v>
      </c>
      <c r="AV216" s="12" t="s">
        <v>88</v>
      </c>
      <c r="AW216" s="12" t="s">
        <v>35</v>
      </c>
      <c r="AX216" s="12" t="s">
        <v>80</v>
      </c>
      <c r="AY216" s="149" t="s">
        <v>126</v>
      </c>
    </row>
    <row r="217" spans="2:65" s="13" customFormat="1" ht="11.25">
      <c r="B217" s="154"/>
      <c r="D217" s="143" t="s">
        <v>138</v>
      </c>
      <c r="E217" s="155" t="s">
        <v>1</v>
      </c>
      <c r="F217" s="156" t="s">
        <v>376</v>
      </c>
      <c r="H217" s="157">
        <v>400</v>
      </c>
      <c r="I217" s="158"/>
      <c r="L217" s="154"/>
      <c r="M217" s="159"/>
      <c r="T217" s="160"/>
      <c r="AT217" s="155" t="s">
        <v>138</v>
      </c>
      <c r="AU217" s="155" t="s">
        <v>90</v>
      </c>
      <c r="AV217" s="13" t="s">
        <v>90</v>
      </c>
      <c r="AW217" s="13" t="s">
        <v>35</v>
      </c>
      <c r="AX217" s="13" t="s">
        <v>88</v>
      </c>
      <c r="AY217" s="155" t="s">
        <v>126</v>
      </c>
    </row>
    <row r="218" spans="2:65" s="11" customFormat="1" ht="25.9" customHeight="1">
      <c r="B218" s="118"/>
      <c r="D218" s="119" t="s">
        <v>79</v>
      </c>
      <c r="E218" s="120" t="s">
        <v>306</v>
      </c>
      <c r="F218" s="120" t="s">
        <v>307</v>
      </c>
      <c r="I218" s="121"/>
      <c r="J218" s="122">
        <f>BK218</f>
        <v>0</v>
      </c>
      <c r="L218" s="118"/>
      <c r="M218" s="123"/>
      <c r="P218" s="124">
        <f>SUM(P219:P227)</f>
        <v>0</v>
      </c>
      <c r="R218" s="124">
        <f>SUM(R219:R227)</f>
        <v>0</v>
      </c>
      <c r="T218" s="125">
        <f>SUM(T219:T227)</f>
        <v>0</v>
      </c>
      <c r="AR218" s="119" t="s">
        <v>133</v>
      </c>
      <c r="AT218" s="126" t="s">
        <v>79</v>
      </c>
      <c r="AU218" s="126" t="s">
        <v>80</v>
      </c>
      <c r="AY218" s="119" t="s">
        <v>126</v>
      </c>
      <c r="BK218" s="127">
        <f>SUM(BK219:BK227)</f>
        <v>0</v>
      </c>
    </row>
    <row r="219" spans="2:65" s="1" customFormat="1" ht="21.75" customHeight="1">
      <c r="B219" s="30"/>
      <c r="C219" s="130" t="s">
        <v>368</v>
      </c>
      <c r="D219" s="130" t="s">
        <v>128</v>
      </c>
      <c r="E219" s="131" t="s">
        <v>399</v>
      </c>
      <c r="F219" s="132" t="s">
        <v>400</v>
      </c>
      <c r="G219" s="133" t="s">
        <v>401</v>
      </c>
      <c r="H219" s="134">
        <v>1</v>
      </c>
      <c r="I219" s="135"/>
      <c r="J219" s="136">
        <f>ROUND(I219*H219,2)</f>
        <v>0</v>
      </c>
      <c r="K219" s="132" t="s">
        <v>132</v>
      </c>
      <c r="L219" s="30"/>
      <c r="M219" s="137" t="s">
        <v>1</v>
      </c>
      <c r="N219" s="138" t="s">
        <v>45</v>
      </c>
      <c r="P219" s="139">
        <f>O219*H219</f>
        <v>0</v>
      </c>
      <c r="Q219" s="139">
        <v>0</v>
      </c>
      <c r="R219" s="139">
        <f>Q219*H219</f>
        <v>0</v>
      </c>
      <c r="S219" s="139">
        <v>0</v>
      </c>
      <c r="T219" s="140">
        <f>S219*H219</f>
        <v>0</v>
      </c>
      <c r="AR219" s="141" t="s">
        <v>311</v>
      </c>
      <c r="AT219" s="141" t="s">
        <v>128</v>
      </c>
      <c r="AU219" s="141" t="s">
        <v>88</v>
      </c>
      <c r="AY219" s="15" t="s">
        <v>126</v>
      </c>
      <c r="BE219" s="142">
        <f>IF(N219="základní",J219,0)</f>
        <v>0</v>
      </c>
      <c r="BF219" s="142">
        <f>IF(N219="snížená",J219,0)</f>
        <v>0</v>
      </c>
      <c r="BG219" s="142">
        <f>IF(N219="zákl. přenesená",J219,0)</f>
        <v>0</v>
      </c>
      <c r="BH219" s="142">
        <f>IF(N219="sníž. přenesená",J219,0)</f>
        <v>0</v>
      </c>
      <c r="BI219" s="142">
        <f>IF(N219="nulová",J219,0)</f>
        <v>0</v>
      </c>
      <c r="BJ219" s="15" t="s">
        <v>88</v>
      </c>
      <c r="BK219" s="142">
        <f>ROUND(I219*H219,2)</f>
        <v>0</v>
      </c>
      <c r="BL219" s="15" t="s">
        <v>311</v>
      </c>
      <c r="BM219" s="141" t="s">
        <v>402</v>
      </c>
    </row>
    <row r="220" spans="2:65" s="1" customFormat="1" ht="11.25">
      <c r="B220" s="30"/>
      <c r="D220" s="143" t="s">
        <v>135</v>
      </c>
      <c r="F220" s="144" t="s">
        <v>400</v>
      </c>
      <c r="I220" s="145"/>
      <c r="L220" s="30"/>
      <c r="M220" s="146"/>
      <c r="T220" s="54"/>
      <c r="AT220" s="15" t="s">
        <v>135</v>
      </c>
      <c r="AU220" s="15" t="s">
        <v>88</v>
      </c>
    </row>
    <row r="221" spans="2:65" s="1" customFormat="1" ht="29.25">
      <c r="B221" s="30"/>
      <c r="D221" s="143" t="s">
        <v>136</v>
      </c>
      <c r="F221" s="147" t="s">
        <v>403</v>
      </c>
      <c r="I221" s="145"/>
      <c r="L221" s="30"/>
      <c r="M221" s="146"/>
      <c r="T221" s="54"/>
      <c r="AT221" s="15" t="s">
        <v>136</v>
      </c>
      <c r="AU221" s="15" t="s">
        <v>88</v>
      </c>
    </row>
    <row r="222" spans="2:65" s="12" customFormat="1" ht="33.75">
      <c r="B222" s="148"/>
      <c r="D222" s="143" t="s">
        <v>138</v>
      </c>
      <c r="E222" s="149" t="s">
        <v>1</v>
      </c>
      <c r="F222" s="150" t="s">
        <v>404</v>
      </c>
      <c r="H222" s="149" t="s">
        <v>1</v>
      </c>
      <c r="I222" s="151"/>
      <c r="L222" s="148"/>
      <c r="M222" s="152"/>
      <c r="T222" s="153"/>
      <c r="AT222" s="149" t="s">
        <v>138</v>
      </c>
      <c r="AU222" s="149" t="s">
        <v>88</v>
      </c>
      <c r="AV222" s="12" t="s">
        <v>88</v>
      </c>
      <c r="AW222" s="12" t="s">
        <v>35</v>
      </c>
      <c r="AX222" s="12" t="s">
        <v>80</v>
      </c>
      <c r="AY222" s="149" t="s">
        <v>126</v>
      </c>
    </row>
    <row r="223" spans="2:65" s="12" customFormat="1" ht="11.25">
      <c r="B223" s="148"/>
      <c r="D223" s="143" t="s">
        <v>138</v>
      </c>
      <c r="E223" s="149" t="s">
        <v>1</v>
      </c>
      <c r="F223" s="150" t="s">
        <v>405</v>
      </c>
      <c r="H223" s="149" t="s">
        <v>1</v>
      </c>
      <c r="I223" s="151"/>
      <c r="L223" s="148"/>
      <c r="M223" s="152"/>
      <c r="T223" s="153"/>
      <c r="AT223" s="149" t="s">
        <v>138</v>
      </c>
      <c r="AU223" s="149" t="s">
        <v>88</v>
      </c>
      <c r="AV223" s="12" t="s">
        <v>88</v>
      </c>
      <c r="AW223" s="12" t="s">
        <v>35</v>
      </c>
      <c r="AX223" s="12" t="s">
        <v>80</v>
      </c>
      <c r="AY223" s="149" t="s">
        <v>126</v>
      </c>
    </row>
    <row r="224" spans="2:65" s="12" customFormat="1" ht="22.5">
      <c r="B224" s="148"/>
      <c r="D224" s="143" t="s">
        <v>138</v>
      </c>
      <c r="E224" s="149" t="s">
        <v>1</v>
      </c>
      <c r="F224" s="150" t="s">
        <v>406</v>
      </c>
      <c r="H224" s="149" t="s">
        <v>1</v>
      </c>
      <c r="I224" s="151"/>
      <c r="L224" s="148"/>
      <c r="M224" s="152"/>
      <c r="T224" s="153"/>
      <c r="AT224" s="149" t="s">
        <v>138</v>
      </c>
      <c r="AU224" s="149" t="s">
        <v>88</v>
      </c>
      <c r="AV224" s="12" t="s">
        <v>88</v>
      </c>
      <c r="AW224" s="12" t="s">
        <v>35</v>
      </c>
      <c r="AX224" s="12" t="s">
        <v>80</v>
      </c>
      <c r="AY224" s="149" t="s">
        <v>126</v>
      </c>
    </row>
    <row r="225" spans="2:51" s="12" customFormat="1" ht="11.25">
      <c r="B225" s="148"/>
      <c r="D225" s="143" t="s">
        <v>138</v>
      </c>
      <c r="E225" s="149" t="s">
        <v>1</v>
      </c>
      <c r="F225" s="150" t="s">
        <v>407</v>
      </c>
      <c r="H225" s="149" t="s">
        <v>1</v>
      </c>
      <c r="I225" s="151"/>
      <c r="L225" s="148"/>
      <c r="M225" s="152"/>
      <c r="T225" s="153"/>
      <c r="AT225" s="149" t="s">
        <v>138</v>
      </c>
      <c r="AU225" s="149" t="s">
        <v>88</v>
      </c>
      <c r="AV225" s="12" t="s">
        <v>88</v>
      </c>
      <c r="AW225" s="12" t="s">
        <v>35</v>
      </c>
      <c r="AX225" s="12" t="s">
        <v>80</v>
      </c>
      <c r="AY225" s="149" t="s">
        <v>126</v>
      </c>
    </row>
    <row r="226" spans="2:51" s="12" customFormat="1" ht="11.25">
      <c r="B226" s="148"/>
      <c r="D226" s="143" t="s">
        <v>138</v>
      </c>
      <c r="E226" s="149" t="s">
        <v>1</v>
      </c>
      <c r="F226" s="150" t="s">
        <v>272</v>
      </c>
      <c r="H226" s="149" t="s">
        <v>1</v>
      </c>
      <c r="I226" s="151"/>
      <c r="L226" s="148"/>
      <c r="M226" s="152"/>
      <c r="T226" s="153"/>
      <c r="AT226" s="149" t="s">
        <v>138</v>
      </c>
      <c r="AU226" s="149" t="s">
        <v>88</v>
      </c>
      <c r="AV226" s="12" t="s">
        <v>88</v>
      </c>
      <c r="AW226" s="12" t="s">
        <v>35</v>
      </c>
      <c r="AX226" s="12" t="s">
        <v>80</v>
      </c>
      <c r="AY226" s="149" t="s">
        <v>126</v>
      </c>
    </row>
    <row r="227" spans="2:51" s="13" customFormat="1" ht="11.25">
      <c r="B227" s="154"/>
      <c r="D227" s="143" t="s">
        <v>138</v>
      </c>
      <c r="E227" s="155" t="s">
        <v>1</v>
      </c>
      <c r="F227" s="156" t="s">
        <v>88</v>
      </c>
      <c r="H227" s="157">
        <v>1</v>
      </c>
      <c r="I227" s="158"/>
      <c r="L227" s="154"/>
      <c r="M227" s="161"/>
      <c r="N227" s="162"/>
      <c r="O227" s="162"/>
      <c r="P227" s="162"/>
      <c r="Q227" s="162"/>
      <c r="R227" s="162"/>
      <c r="S227" s="162"/>
      <c r="T227" s="163"/>
      <c r="AT227" s="155" t="s">
        <v>138</v>
      </c>
      <c r="AU227" s="155" t="s">
        <v>88</v>
      </c>
      <c r="AV227" s="13" t="s">
        <v>90</v>
      </c>
      <c r="AW227" s="13" t="s">
        <v>35</v>
      </c>
      <c r="AX227" s="13" t="s">
        <v>88</v>
      </c>
      <c r="AY227" s="155" t="s">
        <v>126</v>
      </c>
    </row>
    <row r="228" spans="2:51" s="1" customFormat="1" ht="6.95" customHeight="1">
      <c r="B228" s="42"/>
      <c r="C228" s="43"/>
      <c r="D228" s="43"/>
      <c r="E228" s="43"/>
      <c r="F228" s="43"/>
      <c r="G228" s="43"/>
      <c r="H228" s="43"/>
      <c r="I228" s="43"/>
      <c r="J228" s="43"/>
      <c r="K228" s="43"/>
      <c r="L228" s="30"/>
    </row>
  </sheetData>
  <sheetProtection algorithmName="SHA-512" hashValue="RogeDtq8Ag2pVSHWAjdYPFbiqtYZaZNbXJLKFAyv6ukNxChXYFfAe16ztjbV1RkWjOcphwmUhMl2ug/mcTBZiQ==" saltValue="K2oFSz+xssx7wWJlycC2oNEuqCj6AmzHERW9h017uu1+dAZ9MMyGK9RInr5zbBIzpxMcb0y4DKv0sNxNiNrgUA==" spinCount="100000" sheet="1" objects="1" scenarios="1" formatColumns="0" formatRows="0" autoFilter="0"/>
  <autoFilter ref="C118:K227" xr:uid="{00000000-0009-0000-0000-000002000000}"/>
  <mergeCells count="9">
    <mergeCell ref="E87:H87"/>
    <mergeCell ref="E109:H109"/>
    <mergeCell ref="E111:H111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BM131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5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AT2" s="15" t="s">
        <v>96</v>
      </c>
    </row>
    <row r="3" spans="2:46" ht="6.95" customHeight="1">
      <c r="B3" s="16"/>
      <c r="C3" s="17"/>
      <c r="D3" s="17"/>
      <c r="E3" s="17"/>
      <c r="F3" s="17"/>
      <c r="G3" s="17"/>
      <c r="H3" s="17"/>
      <c r="I3" s="17"/>
      <c r="J3" s="17"/>
      <c r="K3" s="17"/>
      <c r="L3" s="18"/>
      <c r="AT3" s="15" t="s">
        <v>90</v>
      </c>
    </row>
    <row r="4" spans="2:46" ht="24.95" customHeight="1">
      <c r="B4" s="18"/>
      <c r="D4" s="19" t="s">
        <v>97</v>
      </c>
      <c r="L4" s="18"/>
      <c r="M4" s="86" t="s">
        <v>10</v>
      </c>
      <c r="AT4" s="15" t="s">
        <v>4</v>
      </c>
    </row>
    <row r="5" spans="2:46" ht="6.95" customHeight="1">
      <c r="B5" s="18"/>
      <c r="L5" s="18"/>
    </row>
    <row r="6" spans="2:46" ht="12" customHeight="1">
      <c r="B6" s="18"/>
      <c r="D6" s="25" t="s">
        <v>16</v>
      </c>
      <c r="L6" s="18"/>
    </row>
    <row r="7" spans="2:46" ht="16.5" customHeight="1">
      <c r="B7" s="18"/>
      <c r="E7" s="202" t="str">
        <f>'Rekapitulace stavby'!K6</f>
        <v>Oprava silnice II/634 Rudolfov-Klauda</v>
      </c>
      <c r="F7" s="203"/>
      <c r="G7" s="203"/>
      <c r="H7" s="203"/>
      <c r="L7" s="18"/>
    </row>
    <row r="8" spans="2:46" s="1" customFormat="1" ht="12" customHeight="1">
      <c r="B8" s="30"/>
      <c r="D8" s="25" t="s">
        <v>98</v>
      </c>
      <c r="L8" s="30"/>
    </row>
    <row r="9" spans="2:46" s="1" customFormat="1" ht="16.5" customHeight="1">
      <c r="B9" s="30"/>
      <c r="E9" s="183" t="s">
        <v>408</v>
      </c>
      <c r="F9" s="204"/>
      <c r="G9" s="204"/>
      <c r="H9" s="204"/>
      <c r="L9" s="30"/>
    </row>
    <row r="10" spans="2:46" s="1" customFormat="1" ht="11.25">
      <c r="B10" s="30"/>
      <c r="L10" s="30"/>
    </row>
    <row r="11" spans="2:46" s="1" customFormat="1" ht="12" customHeight="1">
      <c r="B11" s="30"/>
      <c r="D11" s="25" t="s">
        <v>18</v>
      </c>
      <c r="F11" s="23" t="s">
        <v>1</v>
      </c>
      <c r="I11" s="25" t="s">
        <v>19</v>
      </c>
      <c r="J11" s="23" t="s">
        <v>1</v>
      </c>
      <c r="L11" s="30"/>
    </row>
    <row r="12" spans="2:46" s="1" customFormat="1" ht="12" customHeight="1">
      <c r="B12" s="30"/>
      <c r="D12" s="25" t="s">
        <v>20</v>
      </c>
      <c r="F12" s="23" t="s">
        <v>21</v>
      </c>
      <c r="I12" s="25" t="s">
        <v>22</v>
      </c>
      <c r="J12" s="50" t="str">
        <f>'Rekapitulace stavby'!AN8</f>
        <v>Vyplň údaj</v>
      </c>
      <c r="L12" s="30"/>
    </row>
    <row r="13" spans="2:46" s="1" customFormat="1" ht="10.9" customHeight="1">
      <c r="B13" s="30"/>
      <c r="L13" s="30"/>
    </row>
    <row r="14" spans="2:46" s="1" customFormat="1" ht="12" customHeight="1">
      <c r="B14" s="30"/>
      <c r="D14" s="25" t="s">
        <v>23</v>
      </c>
      <c r="I14" s="25" t="s">
        <v>24</v>
      </c>
      <c r="J14" s="23" t="s">
        <v>25</v>
      </c>
      <c r="L14" s="30"/>
    </row>
    <row r="15" spans="2:46" s="1" customFormat="1" ht="18" customHeight="1">
      <c r="B15" s="30"/>
      <c r="E15" s="23" t="s">
        <v>26</v>
      </c>
      <c r="I15" s="25" t="s">
        <v>27</v>
      </c>
      <c r="J15" s="23" t="s">
        <v>28</v>
      </c>
      <c r="L15" s="30"/>
    </row>
    <row r="16" spans="2:46" s="1" customFormat="1" ht="6.95" customHeight="1">
      <c r="B16" s="30"/>
      <c r="L16" s="30"/>
    </row>
    <row r="17" spans="2:12" s="1" customFormat="1" ht="12" customHeight="1">
      <c r="B17" s="30"/>
      <c r="D17" s="25" t="s">
        <v>29</v>
      </c>
      <c r="I17" s="25" t="s">
        <v>24</v>
      </c>
      <c r="J17" s="26" t="str">
        <f>'Rekapitulace stavby'!AN13</f>
        <v>Vyplň údaj</v>
      </c>
      <c r="L17" s="30"/>
    </row>
    <row r="18" spans="2:12" s="1" customFormat="1" ht="18" customHeight="1">
      <c r="B18" s="30"/>
      <c r="E18" s="205" t="str">
        <f>'Rekapitulace stavby'!E14</f>
        <v>Vyplň údaj</v>
      </c>
      <c r="F18" s="167"/>
      <c r="G18" s="167"/>
      <c r="H18" s="167"/>
      <c r="I18" s="25" t="s">
        <v>27</v>
      </c>
      <c r="J18" s="26" t="str">
        <f>'Rekapitulace stavby'!AN14</f>
        <v>Vyplň údaj</v>
      </c>
      <c r="L18" s="30"/>
    </row>
    <row r="19" spans="2:12" s="1" customFormat="1" ht="6.95" customHeight="1">
      <c r="B19" s="30"/>
      <c r="L19" s="30"/>
    </row>
    <row r="20" spans="2:12" s="1" customFormat="1" ht="12" customHeight="1">
      <c r="B20" s="30"/>
      <c r="D20" s="25" t="s">
        <v>31</v>
      </c>
      <c r="I20" s="25" t="s">
        <v>24</v>
      </c>
      <c r="J20" s="23" t="s">
        <v>32</v>
      </c>
      <c r="L20" s="30"/>
    </row>
    <row r="21" spans="2:12" s="1" customFormat="1" ht="18" customHeight="1">
      <c r="B21" s="30"/>
      <c r="E21" s="23" t="s">
        <v>33</v>
      </c>
      <c r="I21" s="25" t="s">
        <v>27</v>
      </c>
      <c r="J21" s="23" t="s">
        <v>34</v>
      </c>
      <c r="L21" s="30"/>
    </row>
    <row r="22" spans="2:12" s="1" customFormat="1" ht="6.95" customHeight="1">
      <c r="B22" s="30"/>
      <c r="L22" s="30"/>
    </row>
    <row r="23" spans="2:12" s="1" customFormat="1" ht="12" customHeight="1">
      <c r="B23" s="30"/>
      <c r="D23" s="25" t="s">
        <v>36</v>
      </c>
      <c r="I23" s="25" t="s">
        <v>24</v>
      </c>
      <c r="J23" s="23" t="s">
        <v>1</v>
      </c>
      <c r="L23" s="30"/>
    </row>
    <row r="24" spans="2:12" s="1" customFormat="1" ht="18" customHeight="1">
      <c r="B24" s="30"/>
      <c r="E24" s="23" t="s">
        <v>37</v>
      </c>
      <c r="I24" s="25" t="s">
        <v>27</v>
      </c>
      <c r="J24" s="23" t="s">
        <v>1</v>
      </c>
      <c r="L24" s="30"/>
    </row>
    <row r="25" spans="2:12" s="1" customFormat="1" ht="6.95" customHeight="1">
      <c r="B25" s="30"/>
      <c r="L25" s="30"/>
    </row>
    <row r="26" spans="2:12" s="1" customFormat="1" ht="12" customHeight="1">
      <c r="B26" s="30"/>
      <c r="D26" s="25" t="s">
        <v>38</v>
      </c>
      <c r="L26" s="30"/>
    </row>
    <row r="27" spans="2:12" s="7" customFormat="1" ht="16.5" customHeight="1">
      <c r="B27" s="87"/>
      <c r="E27" s="172" t="s">
        <v>1</v>
      </c>
      <c r="F27" s="172"/>
      <c r="G27" s="172"/>
      <c r="H27" s="172"/>
      <c r="L27" s="87"/>
    </row>
    <row r="28" spans="2:12" s="1" customFormat="1" ht="6.95" customHeight="1">
      <c r="B28" s="30"/>
      <c r="L28" s="30"/>
    </row>
    <row r="29" spans="2:12" s="1" customFormat="1" ht="6.95" customHeight="1">
      <c r="B29" s="30"/>
      <c r="D29" s="51"/>
      <c r="E29" s="51"/>
      <c r="F29" s="51"/>
      <c r="G29" s="51"/>
      <c r="H29" s="51"/>
      <c r="I29" s="51"/>
      <c r="J29" s="51"/>
      <c r="K29" s="51"/>
      <c r="L29" s="30"/>
    </row>
    <row r="30" spans="2:12" s="1" customFormat="1" ht="25.35" customHeight="1">
      <c r="B30" s="30"/>
      <c r="D30" s="88" t="s">
        <v>40</v>
      </c>
      <c r="J30" s="64">
        <f>ROUND(J117, 2)</f>
        <v>0</v>
      </c>
      <c r="L30" s="30"/>
    </row>
    <row r="31" spans="2:12" s="1" customFormat="1" ht="6.95" customHeight="1">
      <c r="B31" s="30"/>
      <c r="D31" s="51"/>
      <c r="E31" s="51"/>
      <c r="F31" s="51"/>
      <c r="G31" s="51"/>
      <c r="H31" s="51"/>
      <c r="I31" s="51"/>
      <c r="J31" s="51"/>
      <c r="K31" s="51"/>
      <c r="L31" s="30"/>
    </row>
    <row r="32" spans="2:12" s="1" customFormat="1" ht="14.45" customHeight="1">
      <c r="B32" s="30"/>
      <c r="F32" s="33" t="s">
        <v>42</v>
      </c>
      <c r="I32" s="33" t="s">
        <v>41</v>
      </c>
      <c r="J32" s="33" t="s">
        <v>43</v>
      </c>
      <c r="L32" s="30"/>
    </row>
    <row r="33" spans="2:12" s="1" customFormat="1" ht="14.45" customHeight="1">
      <c r="B33" s="30"/>
      <c r="D33" s="53" t="s">
        <v>44</v>
      </c>
      <c r="E33" s="25" t="s">
        <v>45</v>
      </c>
      <c r="F33" s="89">
        <f>ROUND((SUM(BE117:BE130)),  2)</f>
        <v>0</v>
      </c>
      <c r="I33" s="90">
        <v>0.21</v>
      </c>
      <c r="J33" s="89">
        <f>ROUND(((SUM(BE117:BE130))*I33),  2)</f>
        <v>0</v>
      </c>
      <c r="L33" s="30"/>
    </row>
    <row r="34" spans="2:12" s="1" customFormat="1" ht="14.45" customHeight="1">
      <c r="B34" s="30"/>
      <c r="E34" s="25" t="s">
        <v>46</v>
      </c>
      <c r="F34" s="89">
        <f>ROUND((SUM(BF117:BF130)),  2)</f>
        <v>0</v>
      </c>
      <c r="I34" s="90">
        <v>0.12</v>
      </c>
      <c r="J34" s="89">
        <f>ROUND(((SUM(BF117:BF130))*I34),  2)</f>
        <v>0</v>
      </c>
      <c r="L34" s="30"/>
    </row>
    <row r="35" spans="2:12" s="1" customFormat="1" ht="14.45" hidden="1" customHeight="1">
      <c r="B35" s="30"/>
      <c r="E35" s="25" t="s">
        <v>47</v>
      </c>
      <c r="F35" s="89">
        <f>ROUND((SUM(BG117:BG130)),  2)</f>
        <v>0</v>
      </c>
      <c r="I35" s="90">
        <v>0.21</v>
      </c>
      <c r="J35" s="89">
        <f>0</f>
        <v>0</v>
      </c>
      <c r="L35" s="30"/>
    </row>
    <row r="36" spans="2:12" s="1" customFormat="1" ht="14.45" hidden="1" customHeight="1">
      <c r="B36" s="30"/>
      <c r="E36" s="25" t="s">
        <v>48</v>
      </c>
      <c r="F36" s="89">
        <f>ROUND((SUM(BH117:BH130)),  2)</f>
        <v>0</v>
      </c>
      <c r="I36" s="90">
        <v>0.12</v>
      </c>
      <c r="J36" s="89">
        <f>0</f>
        <v>0</v>
      </c>
      <c r="L36" s="30"/>
    </row>
    <row r="37" spans="2:12" s="1" customFormat="1" ht="14.45" hidden="1" customHeight="1">
      <c r="B37" s="30"/>
      <c r="E37" s="25" t="s">
        <v>49</v>
      </c>
      <c r="F37" s="89">
        <f>ROUND((SUM(BI117:BI130)),  2)</f>
        <v>0</v>
      </c>
      <c r="I37" s="90">
        <v>0</v>
      </c>
      <c r="J37" s="89">
        <f>0</f>
        <v>0</v>
      </c>
      <c r="L37" s="30"/>
    </row>
    <row r="38" spans="2:12" s="1" customFormat="1" ht="6.95" customHeight="1">
      <c r="B38" s="30"/>
      <c r="L38" s="30"/>
    </row>
    <row r="39" spans="2:12" s="1" customFormat="1" ht="25.35" customHeight="1">
      <c r="B39" s="30"/>
      <c r="C39" s="91"/>
      <c r="D39" s="92" t="s">
        <v>50</v>
      </c>
      <c r="E39" s="55"/>
      <c r="F39" s="55"/>
      <c r="G39" s="93" t="s">
        <v>51</v>
      </c>
      <c r="H39" s="94" t="s">
        <v>52</v>
      </c>
      <c r="I39" s="55"/>
      <c r="J39" s="95">
        <f>SUM(J30:J37)</f>
        <v>0</v>
      </c>
      <c r="K39" s="96"/>
      <c r="L39" s="30"/>
    </row>
    <row r="40" spans="2:12" s="1" customFormat="1" ht="14.45" customHeight="1">
      <c r="B40" s="30"/>
      <c r="L40" s="30"/>
    </row>
    <row r="41" spans="2:12" ht="14.45" customHeight="1">
      <c r="B41" s="18"/>
      <c r="L41" s="18"/>
    </row>
    <row r="42" spans="2:12" ht="14.45" customHeight="1">
      <c r="B42" s="18"/>
      <c r="L42" s="18"/>
    </row>
    <row r="43" spans="2:12" ht="14.45" customHeight="1">
      <c r="B43" s="18"/>
      <c r="L43" s="18"/>
    </row>
    <row r="44" spans="2:12" ht="14.45" customHeight="1">
      <c r="B44" s="18"/>
      <c r="L44" s="18"/>
    </row>
    <row r="45" spans="2:12" ht="14.45" customHeight="1">
      <c r="B45" s="18"/>
      <c r="L45" s="18"/>
    </row>
    <row r="46" spans="2:12" ht="14.45" customHeight="1">
      <c r="B46" s="18"/>
      <c r="L46" s="18"/>
    </row>
    <row r="47" spans="2:12" ht="14.45" customHeight="1">
      <c r="B47" s="18"/>
      <c r="L47" s="18"/>
    </row>
    <row r="48" spans="2:12" ht="14.45" customHeight="1">
      <c r="B48" s="18"/>
      <c r="L48" s="18"/>
    </row>
    <row r="49" spans="2:12" ht="14.45" customHeight="1">
      <c r="B49" s="18"/>
      <c r="L49" s="18"/>
    </row>
    <row r="50" spans="2:12" s="1" customFormat="1" ht="14.45" customHeight="1">
      <c r="B50" s="30"/>
      <c r="D50" s="39" t="s">
        <v>53</v>
      </c>
      <c r="E50" s="40"/>
      <c r="F50" s="40"/>
      <c r="G50" s="39" t="s">
        <v>54</v>
      </c>
      <c r="H50" s="40"/>
      <c r="I50" s="40"/>
      <c r="J50" s="40"/>
      <c r="K50" s="40"/>
      <c r="L50" s="30"/>
    </row>
    <row r="51" spans="2:12" ht="11.25">
      <c r="B51" s="18"/>
      <c r="L51" s="18"/>
    </row>
    <row r="52" spans="2:12" ht="11.25">
      <c r="B52" s="18"/>
      <c r="L52" s="18"/>
    </row>
    <row r="53" spans="2:12" ht="11.25">
      <c r="B53" s="18"/>
      <c r="L53" s="18"/>
    </row>
    <row r="54" spans="2:12" ht="11.25">
      <c r="B54" s="18"/>
      <c r="L54" s="18"/>
    </row>
    <row r="55" spans="2:12" ht="11.25">
      <c r="B55" s="18"/>
      <c r="L55" s="18"/>
    </row>
    <row r="56" spans="2:12" ht="11.25">
      <c r="B56" s="18"/>
      <c r="L56" s="18"/>
    </row>
    <row r="57" spans="2:12" ht="11.25">
      <c r="B57" s="18"/>
      <c r="L57" s="18"/>
    </row>
    <row r="58" spans="2:12" ht="11.25">
      <c r="B58" s="18"/>
      <c r="L58" s="18"/>
    </row>
    <row r="59" spans="2:12" ht="11.25">
      <c r="B59" s="18"/>
      <c r="L59" s="18"/>
    </row>
    <row r="60" spans="2:12" ht="11.25">
      <c r="B60" s="18"/>
      <c r="L60" s="18"/>
    </row>
    <row r="61" spans="2:12" s="1" customFormat="1" ht="12.75">
      <c r="B61" s="30"/>
      <c r="D61" s="41" t="s">
        <v>55</v>
      </c>
      <c r="E61" s="32"/>
      <c r="F61" s="97" t="s">
        <v>56</v>
      </c>
      <c r="G61" s="41" t="s">
        <v>55</v>
      </c>
      <c r="H61" s="32"/>
      <c r="I61" s="32"/>
      <c r="J61" s="98" t="s">
        <v>56</v>
      </c>
      <c r="K61" s="32"/>
      <c r="L61" s="30"/>
    </row>
    <row r="62" spans="2:12" ht="11.25">
      <c r="B62" s="18"/>
      <c r="L62" s="18"/>
    </row>
    <row r="63" spans="2:12" ht="11.25">
      <c r="B63" s="18"/>
      <c r="L63" s="18"/>
    </row>
    <row r="64" spans="2:12" ht="11.25">
      <c r="B64" s="18"/>
      <c r="L64" s="18"/>
    </row>
    <row r="65" spans="2:12" s="1" customFormat="1" ht="12.75">
      <c r="B65" s="30"/>
      <c r="D65" s="39" t="s">
        <v>57</v>
      </c>
      <c r="E65" s="40"/>
      <c r="F65" s="40"/>
      <c r="G65" s="39" t="s">
        <v>58</v>
      </c>
      <c r="H65" s="40"/>
      <c r="I65" s="40"/>
      <c r="J65" s="40"/>
      <c r="K65" s="40"/>
      <c r="L65" s="30"/>
    </row>
    <row r="66" spans="2:12" ht="11.25">
      <c r="B66" s="18"/>
      <c r="L66" s="18"/>
    </row>
    <row r="67" spans="2:12" ht="11.25">
      <c r="B67" s="18"/>
      <c r="L67" s="18"/>
    </row>
    <row r="68" spans="2:12" ht="11.25">
      <c r="B68" s="18"/>
      <c r="L68" s="18"/>
    </row>
    <row r="69" spans="2:12" ht="11.25">
      <c r="B69" s="18"/>
      <c r="L69" s="18"/>
    </row>
    <row r="70" spans="2:12" ht="11.25">
      <c r="B70" s="18"/>
      <c r="L70" s="18"/>
    </row>
    <row r="71" spans="2:12" ht="11.25">
      <c r="B71" s="18"/>
      <c r="L71" s="18"/>
    </row>
    <row r="72" spans="2:12" ht="11.25">
      <c r="B72" s="18"/>
      <c r="L72" s="18"/>
    </row>
    <row r="73" spans="2:12" ht="11.25">
      <c r="B73" s="18"/>
      <c r="L73" s="18"/>
    </row>
    <row r="74" spans="2:12" ht="11.25">
      <c r="B74" s="18"/>
      <c r="L74" s="18"/>
    </row>
    <row r="75" spans="2:12" ht="11.25">
      <c r="B75" s="18"/>
      <c r="L75" s="18"/>
    </row>
    <row r="76" spans="2:12" s="1" customFormat="1" ht="12.75">
      <c r="B76" s="30"/>
      <c r="D76" s="41" t="s">
        <v>55</v>
      </c>
      <c r="E76" s="32"/>
      <c r="F76" s="97" t="s">
        <v>56</v>
      </c>
      <c r="G76" s="41" t="s">
        <v>55</v>
      </c>
      <c r="H76" s="32"/>
      <c r="I76" s="32"/>
      <c r="J76" s="98" t="s">
        <v>56</v>
      </c>
      <c r="K76" s="32"/>
      <c r="L76" s="30"/>
    </row>
    <row r="77" spans="2:12" s="1" customFormat="1" ht="14.45" customHeight="1">
      <c r="B77" s="42"/>
      <c r="C77" s="43"/>
      <c r="D77" s="43"/>
      <c r="E77" s="43"/>
      <c r="F77" s="43"/>
      <c r="G77" s="43"/>
      <c r="H77" s="43"/>
      <c r="I77" s="43"/>
      <c r="J77" s="43"/>
      <c r="K77" s="43"/>
      <c r="L77" s="30"/>
    </row>
    <row r="81" spans="2:47" s="1" customFormat="1" ht="6.95" customHeight="1">
      <c r="B81" s="44"/>
      <c r="C81" s="45"/>
      <c r="D81" s="45"/>
      <c r="E81" s="45"/>
      <c r="F81" s="45"/>
      <c r="G81" s="45"/>
      <c r="H81" s="45"/>
      <c r="I81" s="45"/>
      <c r="J81" s="45"/>
      <c r="K81" s="45"/>
      <c r="L81" s="30"/>
    </row>
    <row r="82" spans="2:47" s="1" customFormat="1" ht="24.95" customHeight="1">
      <c r="B82" s="30"/>
      <c r="C82" s="19" t="s">
        <v>100</v>
      </c>
      <c r="L82" s="30"/>
    </row>
    <row r="83" spans="2:47" s="1" customFormat="1" ht="6.95" customHeight="1">
      <c r="B83" s="30"/>
      <c r="L83" s="30"/>
    </row>
    <row r="84" spans="2:47" s="1" customFormat="1" ht="12" customHeight="1">
      <c r="B84" s="30"/>
      <c r="C84" s="25" t="s">
        <v>16</v>
      </c>
      <c r="L84" s="30"/>
    </row>
    <row r="85" spans="2:47" s="1" customFormat="1" ht="16.5" customHeight="1">
      <c r="B85" s="30"/>
      <c r="E85" s="202" t="str">
        <f>E7</f>
        <v>Oprava silnice II/634 Rudolfov-Klauda</v>
      </c>
      <c r="F85" s="203"/>
      <c r="G85" s="203"/>
      <c r="H85" s="203"/>
      <c r="L85" s="30"/>
    </row>
    <row r="86" spans="2:47" s="1" customFormat="1" ht="12" customHeight="1">
      <c r="B86" s="30"/>
      <c r="C86" s="25" t="s">
        <v>98</v>
      </c>
      <c r="L86" s="30"/>
    </row>
    <row r="87" spans="2:47" s="1" customFormat="1" ht="16.5" customHeight="1">
      <c r="B87" s="30"/>
      <c r="E87" s="183" t="str">
        <f>E9</f>
        <v xml:space="preserve">SO103 - Doplňující údaje </v>
      </c>
      <c r="F87" s="204"/>
      <c r="G87" s="204"/>
      <c r="H87" s="204"/>
      <c r="L87" s="30"/>
    </row>
    <row r="88" spans="2:47" s="1" customFormat="1" ht="6.95" customHeight="1">
      <c r="B88" s="30"/>
      <c r="L88" s="30"/>
    </row>
    <row r="89" spans="2:47" s="1" customFormat="1" ht="12" customHeight="1">
      <c r="B89" s="30"/>
      <c r="C89" s="25" t="s">
        <v>20</v>
      </c>
      <c r="F89" s="23" t="str">
        <f>F12</f>
        <v>Rudolfov-Klauda</v>
      </c>
      <c r="I89" s="25" t="s">
        <v>22</v>
      </c>
      <c r="J89" s="50" t="str">
        <f>IF(J12="","",J12)</f>
        <v>Vyplň údaj</v>
      </c>
      <c r="L89" s="30"/>
    </row>
    <row r="90" spans="2:47" s="1" customFormat="1" ht="6.95" customHeight="1">
      <c r="B90" s="30"/>
      <c r="L90" s="30"/>
    </row>
    <row r="91" spans="2:47" s="1" customFormat="1" ht="40.15" customHeight="1">
      <c r="B91" s="30"/>
      <c r="C91" s="25" t="s">
        <v>23</v>
      </c>
      <c r="F91" s="23" t="str">
        <f>E15</f>
        <v>Jihočeský kraj</v>
      </c>
      <c r="I91" s="25" t="s">
        <v>31</v>
      </c>
      <c r="J91" s="28" t="str">
        <f>E21</f>
        <v>Správa a údržba silnic Jihočeského kraje p.o.</v>
      </c>
      <c r="L91" s="30"/>
    </row>
    <row r="92" spans="2:47" s="1" customFormat="1" ht="25.7" customHeight="1">
      <c r="B92" s="30"/>
      <c r="C92" s="25" t="s">
        <v>29</v>
      </c>
      <c r="F92" s="23" t="str">
        <f>IF(E18="","",E18)</f>
        <v>Vyplň údaj</v>
      </c>
      <c r="I92" s="25" t="s">
        <v>36</v>
      </c>
      <c r="J92" s="28" t="str">
        <f>E24</f>
        <v>Petr Nachtigal 606 633 836</v>
      </c>
      <c r="L92" s="30"/>
    </row>
    <row r="93" spans="2:47" s="1" customFormat="1" ht="10.35" customHeight="1">
      <c r="B93" s="30"/>
      <c r="L93" s="30"/>
    </row>
    <row r="94" spans="2:47" s="1" customFormat="1" ht="29.25" customHeight="1">
      <c r="B94" s="30"/>
      <c r="C94" s="99" t="s">
        <v>101</v>
      </c>
      <c r="D94" s="91"/>
      <c r="E94" s="91"/>
      <c r="F94" s="91"/>
      <c r="G94" s="91"/>
      <c r="H94" s="91"/>
      <c r="I94" s="91"/>
      <c r="J94" s="100" t="s">
        <v>102</v>
      </c>
      <c r="K94" s="91"/>
      <c r="L94" s="30"/>
    </row>
    <row r="95" spans="2:47" s="1" customFormat="1" ht="10.35" customHeight="1">
      <c r="B95" s="30"/>
      <c r="L95" s="30"/>
    </row>
    <row r="96" spans="2:47" s="1" customFormat="1" ht="22.9" customHeight="1">
      <c r="B96" s="30"/>
      <c r="C96" s="101" t="s">
        <v>103</v>
      </c>
      <c r="J96" s="64">
        <f>J117</f>
        <v>0</v>
      </c>
      <c r="L96" s="30"/>
      <c r="AU96" s="15" t="s">
        <v>104</v>
      </c>
    </row>
    <row r="97" spans="2:12" s="8" customFormat="1" ht="24.95" customHeight="1">
      <c r="B97" s="102"/>
      <c r="D97" s="103" t="s">
        <v>110</v>
      </c>
      <c r="E97" s="104"/>
      <c r="F97" s="104"/>
      <c r="G97" s="104"/>
      <c r="H97" s="104"/>
      <c r="I97" s="104"/>
      <c r="J97" s="105">
        <f>J118</f>
        <v>0</v>
      </c>
      <c r="L97" s="102"/>
    </row>
    <row r="98" spans="2:12" s="1" customFormat="1" ht="21.75" customHeight="1">
      <c r="B98" s="30"/>
      <c r="L98" s="30"/>
    </row>
    <row r="99" spans="2:12" s="1" customFormat="1" ht="6.95" customHeight="1">
      <c r="B99" s="42"/>
      <c r="C99" s="43"/>
      <c r="D99" s="43"/>
      <c r="E99" s="43"/>
      <c r="F99" s="43"/>
      <c r="G99" s="43"/>
      <c r="H99" s="43"/>
      <c r="I99" s="43"/>
      <c r="J99" s="43"/>
      <c r="K99" s="43"/>
      <c r="L99" s="30"/>
    </row>
    <row r="103" spans="2:12" s="1" customFormat="1" ht="6.95" customHeight="1">
      <c r="B103" s="44"/>
      <c r="C103" s="45"/>
      <c r="D103" s="45"/>
      <c r="E103" s="45"/>
      <c r="F103" s="45"/>
      <c r="G103" s="45"/>
      <c r="H103" s="45"/>
      <c r="I103" s="45"/>
      <c r="J103" s="45"/>
      <c r="K103" s="45"/>
      <c r="L103" s="30"/>
    </row>
    <row r="104" spans="2:12" s="1" customFormat="1" ht="24.95" customHeight="1">
      <c r="B104" s="30"/>
      <c r="C104" s="19" t="s">
        <v>111</v>
      </c>
      <c r="L104" s="30"/>
    </row>
    <row r="105" spans="2:12" s="1" customFormat="1" ht="6.95" customHeight="1">
      <c r="B105" s="30"/>
      <c r="L105" s="30"/>
    </row>
    <row r="106" spans="2:12" s="1" customFormat="1" ht="12" customHeight="1">
      <c r="B106" s="30"/>
      <c r="C106" s="25" t="s">
        <v>16</v>
      </c>
      <c r="L106" s="30"/>
    </row>
    <row r="107" spans="2:12" s="1" customFormat="1" ht="16.5" customHeight="1">
      <c r="B107" s="30"/>
      <c r="E107" s="202" t="str">
        <f>E7</f>
        <v>Oprava silnice II/634 Rudolfov-Klauda</v>
      </c>
      <c r="F107" s="203"/>
      <c r="G107" s="203"/>
      <c r="H107" s="203"/>
      <c r="L107" s="30"/>
    </row>
    <row r="108" spans="2:12" s="1" customFormat="1" ht="12" customHeight="1">
      <c r="B108" s="30"/>
      <c r="C108" s="25" t="s">
        <v>98</v>
      </c>
      <c r="L108" s="30"/>
    </row>
    <row r="109" spans="2:12" s="1" customFormat="1" ht="16.5" customHeight="1">
      <c r="B109" s="30"/>
      <c r="E109" s="183" t="str">
        <f>E9</f>
        <v xml:space="preserve">SO103 - Doplňující údaje </v>
      </c>
      <c r="F109" s="204"/>
      <c r="G109" s="204"/>
      <c r="H109" s="204"/>
      <c r="L109" s="30"/>
    </row>
    <row r="110" spans="2:12" s="1" customFormat="1" ht="6.95" customHeight="1">
      <c r="B110" s="30"/>
      <c r="L110" s="30"/>
    </row>
    <row r="111" spans="2:12" s="1" customFormat="1" ht="12" customHeight="1">
      <c r="B111" s="30"/>
      <c r="C111" s="25" t="s">
        <v>20</v>
      </c>
      <c r="F111" s="23" t="str">
        <f>F12</f>
        <v>Rudolfov-Klauda</v>
      </c>
      <c r="I111" s="25" t="s">
        <v>22</v>
      </c>
      <c r="J111" s="50" t="str">
        <f>IF(J12="","",J12)</f>
        <v>Vyplň údaj</v>
      </c>
      <c r="L111" s="30"/>
    </row>
    <row r="112" spans="2:12" s="1" customFormat="1" ht="6.95" customHeight="1">
      <c r="B112" s="30"/>
      <c r="L112" s="30"/>
    </row>
    <row r="113" spans="2:65" s="1" customFormat="1" ht="40.15" customHeight="1">
      <c r="B113" s="30"/>
      <c r="C113" s="25" t="s">
        <v>23</v>
      </c>
      <c r="F113" s="23" t="str">
        <f>E15</f>
        <v>Jihočeský kraj</v>
      </c>
      <c r="I113" s="25" t="s">
        <v>31</v>
      </c>
      <c r="J113" s="28" t="str">
        <f>E21</f>
        <v>Správa a údržba silnic Jihočeského kraje p.o.</v>
      </c>
      <c r="L113" s="30"/>
    </row>
    <row r="114" spans="2:65" s="1" customFormat="1" ht="25.7" customHeight="1">
      <c r="B114" s="30"/>
      <c r="C114" s="25" t="s">
        <v>29</v>
      </c>
      <c r="F114" s="23" t="str">
        <f>IF(E18="","",E18)</f>
        <v>Vyplň údaj</v>
      </c>
      <c r="I114" s="25" t="s">
        <v>36</v>
      </c>
      <c r="J114" s="28" t="str">
        <f>E24</f>
        <v>Petr Nachtigal 606 633 836</v>
      </c>
      <c r="L114" s="30"/>
    </row>
    <row r="115" spans="2:65" s="1" customFormat="1" ht="10.35" customHeight="1">
      <c r="B115" s="30"/>
      <c r="L115" s="30"/>
    </row>
    <row r="116" spans="2:65" s="10" customFormat="1" ht="29.25" customHeight="1">
      <c r="B116" s="110"/>
      <c r="C116" s="111" t="s">
        <v>112</v>
      </c>
      <c r="D116" s="112" t="s">
        <v>65</v>
      </c>
      <c r="E116" s="112" t="s">
        <v>61</v>
      </c>
      <c r="F116" s="112" t="s">
        <v>62</v>
      </c>
      <c r="G116" s="112" t="s">
        <v>113</v>
      </c>
      <c r="H116" s="112" t="s">
        <v>114</v>
      </c>
      <c r="I116" s="112" t="s">
        <v>115</v>
      </c>
      <c r="J116" s="112" t="s">
        <v>102</v>
      </c>
      <c r="K116" s="113" t="s">
        <v>116</v>
      </c>
      <c r="L116" s="110"/>
      <c r="M116" s="57" t="s">
        <v>1</v>
      </c>
      <c r="N116" s="58" t="s">
        <v>44</v>
      </c>
      <c r="O116" s="58" t="s">
        <v>117</v>
      </c>
      <c r="P116" s="58" t="s">
        <v>118</v>
      </c>
      <c r="Q116" s="58" t="s">
        <v>119</v>
      </c>
      <c r="R116" s="58" t="s">
        <v>120</v>
      </c>
      <c r="S116" s="58" t="s">
        <v>121</v>
      </c>
      <c r="T116" s="59" t="s">
        <v>122</v>
      </c>
    </row>
    <row r="117" spans="2:65" s="1" customFormat="1" ht="22.9" customHeight="1">
      <c r="B117" s="30"/>
      <c r="C117" s="62" t="s">
        <v>123</v>
      </c>
      <c r="J117" s="114">
        <f>BK117</f>
        <v>0</v>
      </c>
      <c r="L117" s="30"/>
      <c r="M117" s="60"/>
      <c r="N117" s="51"/>
      <c r="O117" s="51"/>
      <c r="P117" s="115">
        <f>P118</f>
        <v>0</v>
      </c>
      <c r="Q117" s="51"/>
      <c r="R117" s="115">
        <f>R118</f>
        <v>0</v>
      </c>
      <c r="S117" s="51"/>
      <c r="T117" s="116">
        <f>T118</f>
        <v>0</v>
      </c>
      <c r="AT117" s="15" t="s">
        <v>79</v>
      </c>
      <c r="AU117" s="15" t="s">
        <v>104</v>
      </c>
      <c r="BK117" s="117">
        <f>BK118</f>
        <v>0</v>
      </c>
    </row>
    <row r="118" spans="2:65" s="11" customFormat="1" ht="25.9" customHeight="1">
      <c r="B118" s="118"/>
      <c r="D118" s="119" t="s">
        <v>79</v>
      </c>
      <c r="E118" s="120" t="s">
        <v>306</v>
      </c>
      <c r="F118" s="120" t="s">
        <v>307</v>
      </c>
      <c r="I118" s="121"/>
      <c r="J118" s="122">
        <f>BK118</f>
        <v>0</v>
      </c>
      <c r="L118" s="118"/>
      <c r="M118" s="123"/>
      <c r="P118" s="124">
        <f>SUM(P119:P130)</f>
        <v>0</v>
      </c>
      <c r="R118" s="124">
        <f>SUM(R119:R130)</f>
        <v>0</v>
      </c>
      <c r="T118" s="125">
        <f>SUM(T119:T130)</f>
        <v>0</v>
      </c>
      <c r="AR118" s="119" t="s">
        <v>133</v>
      </c>
      <c r="AT118" s="126" t="s">
        <v>79</v>
      </c>
      <c r="AU118" s="126" t="s">
        <v>80</v>
      </c>
      <c r="AY118" s="119" t="s">
        <v>126</v>
      </c>
      <c r="BK118" s="127">
        <f>SUM(BK119:BK130)</f>
        <v>0</v>
      </c>
    </row>
    <row r="119" spans="2:65" s="1" customFormat="1" ht="21.75" customHeight="1">
      <c r="B119" s="30"/>
      <c r="C119" s="130" t="s">
        <v>192</v>
      </c>
      <c r="D119" s="130" t="s">
        <v>128</v>
      </c>
      <c r="E119" s="131" t="s">
        <v>409</v>
      </c>
      <c r="F119" s="132" t="s">
        <v>410</v>
      </c>
      <c r="G119" s="133" t="s">
        <v>401</v>
      </c>
      <c r="H119" s="134">
        <v>1</v>
      </c>
      <c r="I119" s="135"/>
      <c r="J119" s="136">
        <f>ROUND(I119*H119,2)</f>
        <v>0</v>
      </c>
      <c r="K119" s="132" t="s">
        <v>132</v>
      </c>
      <c r="L119" s="30"/>
      <c r="M119" s="137" t="s">
        <v>1</v>
      </c>
      <c r="N119" s="138" t="s">
        <v>45</v>
      </c>
      <c r="P119" s="139">
        <f>O119*H119</f>
        <v>0</v>
      </c>
      <c r="Q119" s="139">
        <v>0</v>
      </c>
      <c r="R119" s="139">
        <f>Q119*H119</f>
        <v>0</v>
      </c>
      <c r="S119" s="139">
        <v>0</v>
      </c>
      <c r="T119" s="140">
        <f>S119*H119</f>
        <v>0</v>
      </c>
      <c r="AR119" s="141" t="s">
        <v>311</v>
      </c>
      <c r="AT119" s="141" t="s">
        <v>128</v>
      </c>
      <c r="AU119" s="141" t="s">
        <v>88</v>
      </c>
      <c r="AY119" s="15" t="s">
        <v>126</v>
      </c>
      <c r="BE119" s="142">
        <f>IF(N119="základní",J119,0)</f>
        <v>0</v>
      </c>
      <c r="BF119" s="142">
        <f>IF(N119="snížená",J119,0)</f>
        <v>0</v>
      </c>
      <c r="BG119" s="142">
        <f>IF(N119="zákl. přenesená",J119,0)</f>
        <v>0</v>
      </c>
      <c r="BH119" s="142">
        <f>IF(N119="sníž. přenesená",J119,0)</f>
        <v>0</v>
      </c>
      <c r="BI119" s="142">
        <f>IF(N119="nulová",J119,0)</f>
        <v>0</v>
      </c>
      <c r="BJ119" s="15" t="s">
        <v>88</v>
      </c>
      <c r="BK119" s="142">
        <f>ROUND(I119*H119,2)</f>
        <v>0</v>
      </c>
      <c r="BL119" s="15" t="s">
        <v>311</v>
      </c>
      <c r="BM119" s="141" t="s">
        <v>411</v>
      </c>
    </row>
    <row r="120" spans="2:65" s="1" customFormat="1" ht="11.25">
      <c r="B120" s="30"/>
      <c r="D120" s="143" t="s">
        <v>135</v>
      </c>
      <c r="F120" s="144" t="s">
        <v>410</v>
      </c>
      <c r="I120" s="145"/>
      <c r="L120" s="30"/>
      <c r="M120" s="146"/>
      <c r="T120" s="54"/>
      <c r="AT120" s="15" t="s">
        <v>135</v>
      </c>
      <c r="AU120" s="15" t="s">
        <v>88</v>
      </c>
    </row>
    <row r="121" spans="2:65" s="1" customFormat="1" ht="29.25">
      <c r="B121" s="30"/>
      <c r="D121" s="143" t="s">
        <v>136</v>
      </c>
      <c r="F121" s="147" t="s">
        <v>412</v>
      </c>
      <c r="I121" s="145"/>
      <c r="L121" s="30"/>
      <c r="M121" s="146"/>
      <c r="T121" s="54"/>
      <c r="AT121" s="15" t="s">
        <v>136</v>
      </c>
      <c r="AU121" s="15" t="s">
        <v>88</v>
      </c>
    </row>
    <row r="122" spans="2:65" s="12" customFormat="1" ht="11.25">
      <c r="B122" s="148"/>
      <c r="D122" s="143" t="s">
        <v>138</v>
      </c>
      <c r="E122" s="149" t="s">
        <v>1</v>
      </c>
      <c r="F122" s="150" t="s">
        <v>413</v>
      </c>
      <c r="H122" s="149" t="s">
        <v>1</v>
      </c>
      <c r="I122" s="151"/>
      <c r="L122" s="148"/>
      <c r="M122" s="152"/>
      <c r="T122" s="153"/>
      <c r="AT122" s="149" t="s">
        <v>138</v>
      </c>
      <c r="AU122" s="149" t="s">
        <v>88</v>
      </c>
      <c r="AV122" s="12" t="s">
        <v>88</v>
      </c>
      <c r="AW122" s="12" t="s">
        <v>35</v>
      </c>
      <c r="AX122" s="12" t="s">
        <v>80</v>
      </c>
      <c r="AY122" s="149" t="s">
        <v>126</v>
      </c>
    </row>
    <row r="123" spans="2:65" s="12" customFormat="1" ht="11.25">
      <c r="B123" s="148"/>
      <c r="D123" s="143" t="s">
        <v>138</v>
      </c>
      <c r="E123" s="149" t="s">
        <v>1</v>
      </c>
      <c r="F123" s="150" t="s">
        <v>272</v>
      </c>
      <c r="H123" s="149" t="s">
        <v>1</v>
      </c>
      <c r="I123" s="151"/>
      <c r="L123" s="148"/>
      <c r="M123" s="152"/>
      <c r="T123" s="153"/>
      <c r="AT123" s="149" t="s">
        <v>138</v>
      </c>
      <c r="AU123" s="149" t="s">
        <v>88</v>
      </c>
      <c r="AV123" s="12" t="s">
        <v>88</v>
      </c>
      <c r="AW123" s="12" t="s">
        <v>35</v>
      </c>
      <c r="AX123" s="12" t="s">
        <v>80</v>
      </c>
      <c r="AY123" s="149" t="s">
        <v>126</v>
      </c>
    </row>
    <row r="124" spans="2:65" s="13" customFormat="1" ht="11.25">
      <c r="B124" s="154"/>
      <c r="D124" s="143" t="s">
        <v>138</v>
      </c>
      <c r="E124" s="155" t="s">
        <v>1</v>
      </c>
      <c r="F124" s="156" t="s">
        <v>88</v>
      </c>
      <c r="H124" s="157">
        <v>1</v>
      </c>
      <c r="I124" s="158"/>
      <c r="L124" s="154"/>
      <c r="M124" s="159"/>
      <c r="T124" s="160"/>
      <c r="AT124" s="155" t="s">
        <v>138</v>
      </c>
      <c r="AU124" s="155" t="s">
        <v>88</v>
      </c>
      <c r="AV124" s="13" t="s">
        <v>90</v>
      </c>
      <c r="AW124" s="13" t="s">
        <v>35</v>
      </c>
      <c r="AX124" s="13" t="s">
        <v>88</v>
      </c>
      <c r="AY124" s="155" t="s">
        <v>126</v>
      </c>
    </row>
    <row r="125" spans="2:65" s="1" customFormat="1" ht="24.2" customHeight="1">
      <c r="B125" s="30"/>
      <c r="C125" s="130" t="s">
        <v>133</v>
      </c>
      <c r="D125" s="130" t="s">
        <v>128</v>
      </c>
      <c r="E125" s="131" t="s">
        <v>414</v>
      </c>
      <c r="F125" s="132" t="s">
        <v>415</v>
      </c>
      <c r="G125" s="133" t="s">
        <v>256</v>
      </c>
      <c r="H125" s="134">
        <v>1</v>
      </c>
      <c r="I125" s="135"/>
      <c r="J125" s="136">
        <f>ROUND(I125*H125,2)</f>
        <v>0</v>
      </c>
      <c r="K125" s="132" t="s">
        <v>132</v>
      </c>
      <c r="L125" s="30"/>
      <c r="M125" s="137" t="s">
        <v>1</v>
      </c>
      <c r="N125" s="138" t="s">
        <v>45</v>
      </c>
      <c r="P125" s="139">
        <f>O125*H125</f>
        <v>0</v>
      </c>
      <c r="Q125" s="139">
        <v>0</v>
      </c>
      <c r="R125" s="139">
        <f>Q125*H125</f>
        <v>0</v>
      </c>
      <c r="S125" s="139">
        <v>0</v>
      </c>
      <c r="T125" s="140">
        <f>S125*H125</f>
        <v>0</v>
      </c>
      <c r="AR125" s="141" t="s">
        <v>311</v>
      </c>
      <c r="AT125" s="141" t="s">
        <v>128</v>
      </c>
      <c r="AU125" s="141" t="s">
        <v>88</v>
      </c>
      <c r="AY125" s="15" t="s">
        <v>126</v>
      </c>
      <c r="BE125" s="142">
        <f>IF(N125="základní",J125,0)</f>
        <v>0</v>
      </c>
      <c r="BF125" s="142">
        <f>IF(N125="snížená",J125,0)</f>
        <v>0</v>
      </c>
      <c r="BG125" s="142">
        <f>IF(N125="zákl. přenesená",J125,0)</f>
        <v>0</v>
      </c>
      <c r="BH125" s="142">
        <f>IF(N125="sníž. přenesená",J125,0)</f>
        <v>0</v>
      </c>
      <c r="BI125" s="142">
        <f>IF(N125="nulová",J125,0)</f>
        <v>0</v>
      </c>
      <c r="BJ125" s="15" t="s">
        <v>88</v>
      </c>
      <c r="BK125" s="142">
        <f>ROUND(I125*H125,2)</f>
        <v>0</v>
      </c>
      <c r="BL125" s="15" t="s">
        <v>311</v>
      </c>
      <c r="BM125" s="141" t="s">
        <v>416</v>
      </c>
    </row>
    <row r="126" spans="2:65" s="1" customFormat="1" ht="11.25">
      <c r="B126" s="30"/>
      <c r="D126" s="143" t="s">
        <v>135</v>
      </c>
      <c r="F126" s="144" t="s">
        <v>415</v>
      </c>
      <c r="I126" s="145"/>
      <c r="L126" s="30"/>
      <c r="M126" s="146"/>
      <c r="T126" s="54"/>
      <c r="AT126" s="15" t="s">
        <v>135</v>
      </c>
      <c r="AU126" s="15" t="s">
        <v>88</v>
      </c>
    </row>
    <row r="127" spans="2:65" s="1" customFormat="1" ht="29.25">
      <c r="B127" s="30"/>
      <c r="D127" s="143" t="s">
        <v>136</v>
      </c>
      <c r="F127" s="147" t="s">
        <v>417</v>
      </c>
      <c r="I127" s="145"/>
      <c r="L127" s="30"/>
      <c r="M127" s="146"/>
      <c r="T127" s="54"/>
      <c r="AT127" s="15" t="s">
        <v>136</v>
      </c>
      <c r="AU127" s="15" t="s">
        <v>88</v>
      </c>
    </row>
    <row r="128" spans="2:65" s="12" customFormat="1" ht="11.25">
      <c r="B128" s="148"/>
      <c r="D128" s="143" t="s">
        <v>138</v>
      </c>
      <c r="E128" s="149" t="s">
        <v>1</v>
      </c>
      <c r="F128" s="150" t="s">
        <v>418</v>
      </c>
      <c r="H128" s="149" t="s">
        <v>1</v>
      </c>
      <c r="I128" s="151"/>
      <c r="L128" s="148"/>
      <c r="M128" s="152"/>
      <c r="T128" s="153"/>
      <c r="AT128" s="149" t="s">
        <v>138</v>
      </c>
      <c r="AU128" s="149" t="s">
        <v>88</v>
      </c>
      <c r="AV128" s="12" t="s">
        <v>88</v>
      </c>
      <c r="AW128" s="12" t="s">
        <v>35</v>
      </c>
      <c r="AX128" s="12" t="s">
        <v>80</v>
      </c>
      <c r="AY128" s="149" t="s">
        <v>126</v>
      </c>
    </row>
    <row r="129" spans="2:51" s="12" customFormat="1" ht="11.25">
      <c r="B129" s="148"/>
      <c r="D129" s="143" t="s">
        <v>138</v>
      </c>
      <c r="E129" s="149" t="s">
        <v>1</v>
      </c>
      <c r="F129" s="150" t="s">
        <v>272</v>
      </c>
      <c r="H129" s="149" t="s">
        <v>1</v>
      </c>
      <c r="I129" s="151"/>
      <c r="L129" s="148"/>
      <c r="M129" s="152"/>
      <c r="T129" s="153"/>
      <c r="AT129" s="149" t="s">
        <v>138</v>
      </c>
      <c r="AU129" s="149" t="s">
        <v>88</v>
      </c>
      <c r="AV129" s="12" t="s">
        <v>88</v>
      </c>
      <c r="AW129" s="12" t="s">
        <v>35</v>
      </c>
      <c r="AX129" s="12" t="s">
        <v>80</v>
      </c>
      <c r="AY129" s="149" t="s">
        <v>126</v>
      </c>
    </row>
    <row r="130" spans="2:51" s="13" customFormat="1" ht="11.25">
      <c r="B130" s="154"/>
      <c r="D130" s="143" t="s">
        <v>138</v>
      </c>
      <c r="E130" s="155" t="s">
        <v>1</v>
      </c>
      <c r="F130" s="156" t="s">
        <v>88</v>
      </c>
      <c r="H130" s="157">
        <v>1</v>
      </c>
      <c r="I130" s="158"/>
      <c r="L130" s="154"/>
      <c r="M130" s="161"/>
      <c r="N130" s="162"/>
      <c r="O130" s="162"/>
      <c r="P130" s="162"/>
      <c r="Q130" s="162"/>
      <c r="R130" s="162"/>
      <c r="S130" s="162"/>
      <c r="T130" s="163"/>
      <c r="AT130" s="155" t="s">
        <v>138</v>
      </c>
      <c r="AU130" s="155" t="s">
        <v>88</v>
      </c>
      <c r="AV130" s="13" t="s">
        <v>90</v>
      </c>
      <c r="AW130" s="13" t="s">
        <v>35</v>
      </c>
      <c r="AX130" s="13" t="s">
        <v>88</v>
      </c>
      <c r="AY130" s="155" t="s">
        <v>126</v>
      </c>
    </row>
    <row r="131" spans="2:51" s="1" customFormat="1" ht="6.95" customHeight="1">
      <c r="B131" s="42"/>
      <c r="C131" s="43"/>
      <c r="D131" s="43"/>
      <c r="E131" s="43"/>
      <c r="F131" s="43"/>
      <c r="G131" s="43"/>
      <c r="H131" s="43"/>
      <c r="I131" s="43"/>
      <c r="J131" s="43"/>
      <c r="K131" s="43"/>
      <c r="L131" s="30"/>
    </row>
  </sheetData>
  <sheetProtection algorithmName="SHA-512" hashValue="GYwr/rZ7Op+vdr9arsg8yjIaFhgYI5GFEOu3pLvKDcKApGdcO4GG7y9Bah7NskoSDQfcdcaJkrACWCT8jeBTcA==" saltValue="L1TuXuCuOa3gmjQ+yNv8GH9qnGEg0wFYljR6T1InQXPaoUy7MvHEO407zW+3Vb4BHoPsfQcDBxAxmjP8a6NXLg==" spinCount="100000" sheet="1" objects="1" scenarios="1" formatColumns="0" formatRows="0" autoFilter="0"/>
  <autoFilter ref="C116:K130" xr:uid="{00000000-0009-0000-0000-000003000000}"/>
  <mergeCells count="9">
    <mergeCell ref="E87:H87"/>
    <mergeCell ref="E107:H107"/>
    <mergeCell ref="E109:H109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4</vt:i4>
      </vt:variant>
      <vt:variant>
        <vt:lpstr>Pojmenované oblasti</vt:lpstr>
      </vt:variant>
      <vt:variant>
        <vt:i4>8</vt:i4>
      </vt:variant>
    </vt:vector>
  </HeadingPairs>
  <TitlesOfParts>
    <vt:vector size="12" baseType="lpstr">
      <vt:lpstr>Rekapitulace stavby</vt:lpstr>
      <vt:lpstr>SO101 - Oprava silniceII-...</vt:lpstr>
      <vt:lpstr>SO102 - DIO</vt:lpstr>
      <vt:lpstr>SO103 - Doplňující údaje </vt:lpstr>
      <vt:lpstr>'Rekapitulace stavby'!Názvy_tisku</vt:lpstr>
      <vt:lpstr>'SO101 - Oprava silniceII-...'!Názvy_tisku</vt:lpstr>
      <vt:lpstr>'SO102 - DIO'!Názvy_tisku</vt:lpstr>
      <vt:lpstr>'SO103 - Doplňující údaje '!Názvy_tisku</vt:lpstr>
      <vt:lpstr>'Rekapitulace stavby'!Oblast_tisku</vt:lpstr>
      <vt:lpstr>'SO101 - Oprava silniceII-...'!Oblast_tisku</vt:lpstr>
      <vt:lpstr>'SO102 - DIO'!Oblast_tisku</vt:lpstr>
      <vt:lpstr>'SO103 - Doplňující údaje 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Sáčková</dc:creator>
  <cp:lastModifiedBy>Andrea Sáčková</cp:lastModifiedBy>
  <dcterms:created xsi:type="dcterms:W3CDTF">2025-04-25T12:06:43Z</dcterms:created>
  <dcterms:modified xsi:type="dcterms:W3CDTF">2025-04-25T12:08:53Z</dcterms:modified>
</cp:coreProperties>
</file>