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KrosData\Export\"/>
    </mc:Choice>
  </mc:AlternateContent>
  <bookViews>
    <workbookView xWindow="0" yWindow="0" windowWidth="0" windowHeight="0"/>
  </bookViews>
  <sheets>
    <sheet name="Rekapitulace stavby" sheetId="1" r:id="rId1"/>
    <sheet name="SO101 - Oprava silnice II..." sheetId="2" r:id="rId2"/>
    <sheet name="SO102 - Oprava silnice II..." sheetId="3" r:id="rId3"/>
    <sheet name="SO103 - DIO" sheetId="4" r:id="rId4"/>
    <sheet name="SO104 - Doplňující údaje " sheetId="5" r:id="rId5"/>
  </sheets>
  <definedNames>
    <definedName name="_xlnm.Print_Area" localSheetId="0">'Rekapitulace stavby'!$D$4:$AO$76,'Rekapitulace stavby'!$C$82:$AQ$99</definedName>
    <definedName name="_xlnm.Print_Titles" localSheetId="0">'Rekapitulace stavby'!$92:$92</definedName>
    <definedName name="_xlnm._FilterDatabase" localSheetId="1" hidden="1">'SO101 - Oprava silnice II...'!$C$121:$K$223</definedName>
    <definedName name="_xlnm.Print_Area" localSheetId="1">'SO101 - Oprava silnice II...'!$C$4:$J$76,'SO101 - Oprava silnice II...'!$C$82:$J$103,'SO101 - Oprava silnice II...'!$C$109:$K$223</definedName>
    <definedName name="_xlnm.Print_Titles" localSheetId="1">'SO101 - Oprava silnice II...'!$121:$121</definedName>
    <definedName name="_xlnm._FilterDatabase" localSheetId="2" hidden="1">'SO102 - Oprava silnice II...'!$C$121:$K$377</definedName>
    <definedName name="_xlnm.Print_Area" localSheetId="2">'SO102 - Oprava silnice II...'!$C$4:$J$76,'SO102 - Oprava silnice II...'!$C$82:$J$103,'SO102 - Oprava silnice II...'!$C$109:$K$377</definedName>
    <definedName name="_xlnm.Print_Titles" localSheetId="2">'SO102 - Oprava silnice II...'!$121:$121</definedName>
    <definedName name="_xlnm._FilterDatabase" localSheetId="3" hidden="1">'SO103 - DIO'!$C$117:$K$220</definedName>
    <definedName name="_xlnm.Print_Area" localSheetId="3">'SO103 - DIO'!$C$4:$J$76,'SO103 - DIO'!$C$82:$J$99,'SO103 - DIO'!$C$105:$K$220</definedName>
    <definedName name="_xlnm.Print_Titles" localSheetId="3">'SO103 - DIO'!$117:$117</definedName>
    <definedName name="_xlnm._FilterDatabase" localSheetId="4" hidden="1">'SO104 - Doplňující údaje '!$C$116:$K$130</definedName>
    <definedName name="_xlnm.Print_Area" localSheetId="4">'SO104 - Doplňující údaje '!$C$4:$J$76,'SO104 - Doplňující údaje '!$C$82:$J$98,'SO104 - Doplňující údaje '!$C$104:$K$130</definedName>
    <definedName name="_xlnm.Print_Titles" localSheetId="4">'SO104 - Doplňující údaje '!$116:$116</definedName>
  </definedNames>
  <calcPr/>
</workbook>
</file>

<file path=xl/calcChain.xml><?xml version="1.0" encoding="utf-8"?>
<calcChain xmlns="http://schemas.openxmlformats.org/spreadsheetml/2006/main">
  <c i="5" l="1" r="J37"/>
  <c r="J36"/>
  <c i="1" r="AY98"/>
  <c i="5" r="J35"/>
  <c i="1" r="AX98"/>
  <c i="5" r="BI125"/>
  <c r="BH125"/>
  <c r="BG125"/>
  <c r="BF125"/>
  <c r="T125"/>
  <c r="T118"/>
  <c r="T117"/>
  <c r="R125"/>
  <c r="R118"/>
  <c r="R117"/>
  <c r="P125"/>
  <c r="P118"/>
  <c r="P117"/>
  <c i="1" r="AU98"/>
  <c i="5" r="BI119"/>
  <c r="BH119"/>
  <c r="BG119"/>
  <c r="BF119"/>
  <c r="T119"/>
  <c r="R119"/>
  <c r="P119"/>
  <c r="J114"/>
  <c r="J113"/>
  <c r="F113"/>
  <c r="F111"/>
  <c r="E109"/>
  <c r="J92"/>
  <c r="J91"/>
  <c r="F91"/>
  <c r="F89"/>
  <c r="E87"/>
  <c r="J18"/>
  <c r="E18"/>
  <c r="F114"/>
  <c r="J17"/>
  <c r="J12"/>
  <c r="J111"/>
  <c r="E7"/>
  <c r="E107"/>
  <c i="4" r="J37"/>
  <c r="J36"/>
  <c i="1" r="AY97"/>
  <c i="4" r="J35"/>
  <c i="1" r="AX97"/>
  <c i="4" r="BI217"/>
  <c r="BH217"/>
  <c r="BG217"/>
  <c r="BF217"/>
  <c r="T217"/>
  <c r="R217"/>
  <c r="P217"/>
  <c r="BI211"/>
  <c r="BH211"/>
  <c r="BG211"/>
  <c r="BF211"/>
  <c r="T211"/>
  <c r="R211"/>
  <c r="P211"/>
  <c r="BI206"/>
  <c r="BH206"/>
  <c r="BG206"/>
  <c r="BF206"/>
  <c r="T206"/>
  <c r="R206"/>
  <c r="P206"/>
  <c r="BI201"/>
  <c r="BH201"/>
  <c r="BG201"/>
  <c r="BF201"/>
  <c r="T201"/>
  <c r="R201"/>
  <c r="P201"/>
  <c r="BI195"/>
  <c r="BH195"/>
  <c r="BG195"/>
  <c r="BF195"/>
  <c r="T195"/>
  <c r="R195"/>
  <c r="P195"/>
  <c r="BI190"/>
  <c r="BH190"/>
  <c r="BG190"/>
  <c r="BF190"/>
  <c r="T190"/>
  <c r="R190"/>
  <c r="P190"/>
  <c r="BI185"/>
  <c r="BH185"/>
  <c r="BG185"/>
  <c r="BF185"/>
  <c r="T185"/>
  <c r="R185"/>
  <c r="P185"/>
  <c r="BI179"/>
  <c r="BH179"/>
  <c r="BG179"/>
  <c r="BF179"/>
  <c r="T179"/>
  <c r="R179"/>
  <c r="P179"/>
  <c r="BI174"/>
  <c r="BH174"/>
  <c r="BG174"/>
  <c r="BF174"/>
  <c r="T174"/>
  <c r="R174"/>
  <c r="P174"/>
  <c r="BI169"/>
  <c r="BH169"/>
  <c r="BG169"/>
  <c r="BF169"/>
  <c r="T169"/>
  <c r="R169"/>
  <c r="P169"/>
  <c r="BI163"/>
  <c r="BH163"/>
  <c r="BG163"/>
  <c r="BF163"/>
  <c r="T163"/>
  <c r="R163"/>
  <c r="P163"/>
  <c r="BI158"/>
  <c r="BH158"/>
  <c r="BG158"/>
  <c r="BF158"/>
  <c r="T158"/>
  <c r="R158"/>
  <c r="P158"/>
  <c r="BI153"/>
  <c r="BH153"/>
  <c r="BG153"/>
  <c r="BF153"/>
  <c r="T153"/>
  <c r="R153"/>
  <c r="P153"/>
  <c r="BI147"/>
  <c r="BH147"/>
  <c r="BG147"/>
  <c r="BF147"/>
  <c r="T147"/>
  <c r="R147"/>
  <c r="P147"/>
  <c r="BI142"/>
  <c r="BH142"/>
  <c r="BG142"/>
  <c r="BF142"/>
  <c r="T142"/>
  <c r="R142"/>
  <c r="P142"/>
  <c r="BI137"/>
  <c r="BH137"/>
  <c r="BG137"/>
  <c r="BF137"/>
  <c r="T137"/>
  <c r="R137"/>
  <c r="P137"/>
  <c r="BI131"/>
  <c r="BH131"/>
  <c r="BG131"/>
  <c r="BF131"/>
  <c r="T131"/>
  <c r="R131"/>
  <c r="P131"/>
  <c r="BI126"/>
  <c r="BH126"/>
  <c r="BG126"/>
  <c r="BF126"/>
  <c r="T126"/>
  <c r="R126"/>
  <c r="P126"/>
  <c r="BI121"/>
  <c r="BH121"/>
  <c r="BG121"/>
  <c r="BF121"/>
  <c r="T121"/>
  <c r="R121"/>
  <c r="P121"/>
  <c r="J115"/>
  <c r="J114"/>
  <c r="F114"/>
  <c r="F112"/>
  <c r="E110"/>
  <c r="J92"/>
  <c r="J91"/>
  <c r="F91"/>
  <c r="F89"/>
  <c r="E87"/>
  <c r="J18"/>
  <c r="E18"/>
  <c r="F115"/>
  <c r="J17"/>
  <c r="J12"/>
  <c r="J112"/>
  <c r="E7"/>
  <c r="E85"/>
  <c i="3" r="J37"/>
  <c r="J36"/>
  <c i="1" r="AY96"/>
  <c i="3" r="J35"/>
  <c i="1" r="AX96"/>
  <c i="3" r="BI367"/>
  <c r="BH367"/>
  <c r="BG367"/>
  <c r="BF367"/>
  <c r="T367"/>
  <c r="R367"/>
  <c r="P367"/>
  <c r="BI360"/>
  <c r="BH360"/>
  <c r="BG360"/>
  <c r="BF360"/>
  <c r="T360"/>
  <c r="R360"/>
  <c r="P360"/>
  <c r="BI351"/>
  <c r="BH351"/>
  <c r="BG351"/>
  <c r="BF351"/>
  <c r="T351"/>
  <c r="R351"/>
  <c r="P351"/>
  <c r="BI345"/>
  <c r="BH345"/>
  <c r="BG345"/>
  <c r="BF345"/>
  <c r="T345"/>
  <c r="R345"/>
  <c r="P345"/>
  <c r="BI340"/>
  <c r="BH340"/>
  <c r="BG340"/>
  <c r="BF340"/>
  <c r="T340"/>
  <c r="R340"/>
  <c r="P340"/>
  <c r="BI335"/>
  <c r="BH335"/>
  <c r="BG335"/>
  <c r="BF335"/>
  <c r="T335"/>
  <c r="R335"/>
  <c r="P335"/>
  <c r="BI329"/>
  <c r="BH329"/>
  <c r="BG329"/>
  <c r="BF329"/>
  <c r="T329"/>
  <c r="R329"/>
  <c r="P329"/>
  <c r="BI323"/>
  <c r="BH323"/>
  <c r="BG323"/>
  <c r="BF323"/>
  <c r="T323"/>
  <c r="R323"/>
  <c r="P323"/>
  <c r="BI317"/>
  <c r="BH317"/>
  <c r="BG317"/>
  <c r="BF317"/>
  <c r="T317"/>
  <c r="R317"/>
  <c r="P317"/>
  <c r="BI306"/>
  <c r="BH306"/>
  <c r="BG306"/>
  <c r="BF306"/>
  <c r="T306"/>
  <c r="R306"/>
  <c r="P306"/>
  <c r="BI293"/>
  <c r="BH293"/>
  <c r="BG293"/>
  <c r="BF293"/>
  <c r="T293"/>
  <c r="R293"/>
  <c r="P293"/>
  <c r="BI282"/>
  <c r="BH282"/>
  <c r="BG282"/>
  <c r="BF282"/>
  <c r="T282"/>
  <c r="R282"/>
  <c r="P282"/>
  <c r="BI275"/>
  <c r="BH275"/>
  <c r="BG275"/>
  <c r="BF275"/>
  <c r="T275"/>
  <c r="R275"/>
  <c r="P275"/>
  <c r="BI262"/>
  <c r="BH262"/>
  <c r="BG262"/>
  <c r="BF262"/>
  <c r="T262"/>
  <c r="R262"/>
  <c r="P262"/>
  <c r="BI252"/>
  <c r="BH252"/>
  <c r="BG252"/>
  <c r="BF252"/>
  <c r="T252"/>
  <c r="R252"/>
  <c r="P252"/>
  <c r="BI242"/>
  <c r="BH242"/>
  <c r="BG242"/>
  <c r="BF242"/>
  <c r="T242"/>
  <c r="R242"/>
  <c r="P242"/>
  <c r="BI235"/>
  <c r="BH235"/>
  <c r="BG235"/>
  <c r="BF235"/>
  <c r="T235"/>
  <c r="R235"/>
  <c r="P235"/>
  <c r="BI224"/>
  <c r="BH224"/>
  <c r="BG224"/>
  <c r="BF224"/>
  <c r="T224"/>
  <c r="R224"/>
  <c r="P224"/>
  <c r="BI215"/>
  <c r="BH215"/>
  <c r="BG215"/>
  <c r="BF215"/>
  <c r="T215"/>
  <c r="R215"/>
  <c r="P215"/>
  <c r="BI209"/>
  <c r="BH209"/>
  <c r="BG209"/>
  <c r="BF209"/>
  <c r="T209"/>
  <c r="R209"/>
  <c r="P209"/>
  <c r="BI202"/>
  <c r="BH202"/>
  <c r="BG202"/>
  <c r="BF202"/>
  <c r="T202"/>
  <c r="R202"/>
  <c r="P202"/>
  <c r="BI196"/>
  <c r="BH196"/>
  <c r="BG196"/>
  <c r="BF196"/>
  <c r="T196"/>
  <c r="R196"/>
  <c r="P196"/>
  <c r="BI190"/>
  <c r="BH190"/>
  <c r="BG190"/>
  <c r="BF190"/>
  <c r="T190"/>
  <c r="R190"/>
  <c r="P190"/>
  <c r="BI184"/>
  <c r="BH184"/>
  <c r="BG184"/>
  <c r="BF184"/>
  <c r="T184"/>
  <c r="R184"/>
  <c r="P184"/>
  <c r="BI174"/>
  <c r="BH174"/>
  <c r="BG174"/>
  <c r="BF174"/>
  <c r="T174"/>
  <c r="R174"/>
  <c r="P174"/>
  <c r="BI163"/>
  <c r="BH163"/>
  <c r="BG163"/>
  <c r="BF163"/>
  <c r="T163"/>
  <c r="R163"/>
  <c r="P163"/>
  <c r="BI155"/>
  <c r="BH155"/>
  <c r="BG155"/>
  <c r="BF155"/>
  <c r="T155"/>
  <c r="R155"/>
  <c r="P155"/>
  <c r="BI149"/>
  <c r="BH149"/>
  <c r="BG149"/>
  <c r="BF149"/>
  <c r="T149"/>
  <c r="R149"/>
  <c r="P149"/>
  <c r="BI137"/>
  <c r="BH137"/>
  <c r="BG137"/>
  <c r="BF137"/>
  <c r="T137"/>
  <c r="R137"/>
  <c r="P137"/>
  <c r="BI125"/>
  <c r="BH125"/>
  <c r="BG125"/>
  <c r="BF125"/>
  <c r="T125"/>
  <c r="R125"/>
  <c r="P125"/>
  <c r="J119"/>
  <c r="J118"/>
  <c r="F118"/>
  <c r="F116"/>
  <c r="E114"/>
  <c r="J92"/>
  <c r="J91"/>
  <c r="F91"/>
  <c r="F89"/>
  <c r="E87"/>
  <c r="J18"/>
  <c r="E18"/>
  <c r="F119"/>
  <c r="J17"/>
  <c r="J12"/>
  <c r="J116"/>
  <c r="E7"/>
  <c r="E112"/>
  <c i="2" r="R212"/>
  <c r="J199"/>
  <c r="J37"/>
  <c r="J36"/>
  <c i="1" r="AY95"/>
  <c i="2" r="J35"/>
  <c i="1" r="AX95"/>
  <c i="2" r="BI213"/>
  <c r="BH213"/>
  <c r="BG213"/>
  <c r="BF213"/>
  <c r="T213"/>
  <c r="T212"/>
  <c r="R213"/>
  <c r="P213"/>
  <c r="P212"/>
  <c r="BI206"/>
  <c r="BH206"/>
  <c r="BG206"/>
  <c r="BF206"/>
  <c r="T206"/>
  <c r="R206"/>
  <c r="P206"/>
  <c r="BI201"/>
  <c r="BH201"/>
  <c r="BG201"/>
  <c r="BF201"/>
  <c r="T201"/>
  <c r="R201"/>
  <c r="P201"/>
  <c r="J100"/>
  <c r="BI189"/>
  <c r="BH189"/>
  <c r="BG189"/>
  <c r="BF189"/>
  <c r="T189"/>
  <c r="R189"/>
  <c r="P189"/>
  <c r="BI179"/>
  <c r="BH179"/>
  <c r="BG179"/>
  <c r="BF179"/>
  <c r="T179"/>
  <c r="R179"/>
  <c r="P179"/>
  <c r="BI171"/>
  <c r="BH171"/>
  <c r="BG171"/>
  <c r="BF171"/>
  <c r="T171"/>
  <c r="R171"/>
  <c r="P171"/>
  <c r="BI163"/>
  <c r="BH163"/>
  <c r="BG163"/>
  <c r="BF163"/>
  <c r="T163"/>
  <c r="R163"/>
  <c r="P163"/>
  <c r="BI150"/>
  <c r="BH150"/>
  <c r="BG150"/>
  <c r="BF150"/>
  <c r="T150"/>
  <c r="R150"/>
  <c r="P150"/>
  <c r="BI142"/>
  <c r="BH142"/>
  <c r="BG142"/>
  <c r="BF142"/>
  <c r="T142"/>
  <c r="R142"/>
  <c r="P142"/>
  <c r="BI134"/>
  <c r="BH134"/>
  <c r="BG134"/>
  <c r="BF134"/>
  <c r="T134"/>
  <c r="R134"/>
  <c r="P134"/>
  <c r="BI125"/>
  <c r="BH125"/>
  <c r="BG125"/>
  <c r="BF125"/>
  <c r="T125"/>
  <c r="R125"/>
  <c r="P125"/>
  <c r="J119"/>
  <c r="J118"/>
  <c r="F118"/>
  <c r="F116"/>
  <c r="E114"/>
  <c r="J92"/>
  <c r="J91"/>
  <c r="F91"/>
  <c r="F89"/>
  <c r="E87"/>
  <c r="J18"/>
  <c r="E18"/>
  <c r="F92"/>
  <c r="J17"/>
  <c r="J12"/>
  <c r="J116"/>
  <c r="E7"/>
  <c r="E112"/>
  <c i="1" r="L90"/>
  <c r="AM90"/>
  <c r="AM89"/>
  <c r="L89"/>
  <c r="AM87"/>
  <c r="L87"/>
  <c r="L85"/>
  <c r="L84"/>
  <c i="2" r="J163"/>
  <c r="J150"/>
  <c r="BK189"/>
  <c i="1" r="AS94"/>
  <c i="3" r="J262"/>
  <c r="J367"/>
  <c r="BK174"/>
  <c r="J275"/>
  <c r="BK317"/>
  <c r="J340"/>
  <c r="J329"/>
  <c r="BK215"/>
  <c i="4" r="BK179"/>
  <c r="J131"/>
  <c r="J158"/>
  <c r="J206"/>
  <c i="5" r="J119"/>
  <c i="3" r="BK235"/>
  <c r="BK209"/>
  <c r="BK275"/>
  <c i="4" r="BK206"/>
  <c r="BK211"/>
  <c r="J163"/>
  <c r="J137"/>
  <c r="BK217"/>
  <c r="J147"/>
  <c r="BK153"/>
  <c i="5" r="BK125"/>
  <c r="J125"/>
  <c r="F37"/>
  <c i="1" r="BD98"/>
  <c i="2" r="J206"/>
  <c r="J189"/>
  <c r="J201"/>
  <c i="3" r="BK360"/>
  <c r="J163"/>
  <c r="J323"/>
  <c r="J351"/>
  <c r="BK190"/>
  <c i="4" r="BK163"/>
  <c r="BK190"/>
  <c r="BK147"/>
  <c r="BK131"/>
  <c r="J179"/>
  <c r="BK185"/>
  <c r="J169"/>
  <c i="5" r="BK119"/>
  <c r="J34"/>
  <c i="1" r="AW98"/>
  <c i="2" r="BK163"/>
  <c i="3" r="J137"/>
  <c r="BK149"/>
  <c r="BK367"/>
  <c r="J335"/>
  <c r="BK163"/>
  <c i="4" r="J211"/>
  <c r="BK126"/>
  <c r="BK195"/>
  <c i="3" r="J360"/>
  <c r="BK224"/>
  <c r="BK262"/>
  <c r="BK155"/>
  <c i="4" r="J126"/>
  <c r="J121"/>
  <c r="BK142"/>
  <c r="J190"/>
  <c i="2" r="BK171"/>
  <c r="BK142"/>
  <c i="3" r="J317"/>
  <c r="BK340"/>
  <c i="4" r="J153"/>
  <c i="5" r="F36"/>
  <c i="1" r="BC98"/>
  <c i="2" r="BK206"/>
  <c r="J179"/>
  <c i="3" r="BK335"/>
  <c r="J196"/>
  <c r="J202"/>
  <c r="J190"/>
  <c r="J252"/>
  <c r="J306"/>
  <c i="4" r="BK169"/>
  <c r="BK174"/>
  <c r="J217"/>
  <c i="2" r="BK150"/>
  <c r="BK125"/>
  <c i="3" r="J155"/>
  <c r="J224"/>
  <c r="J215"/>
  <c r="J209"/>
  <c i="4" r="J185"/>
  <c i="2" r="BK201"/>
  <c r="BK213"/>
  <c i="3" r="BK293"/>
  <c r="J235"/>
  <c r="J282"/>
  <c i="2" r="J125"/>
  <c i="3" r="BK345"/>
  <c r="BK242"/>
  <c r="BK306"/>
  <c r="BK196"/>
  <c r="J149"/>
  <c r="BK137"/>
  <c r="BK252"/>
  <c i="4" r="J142"/>
  <c r="J201"/>
  <c r="BK201"/>
  <c i="5" r="F35"/>
  <c i="1" r="BB98"/>
  <c i="2" r="J171"/>
  <c r="BK179"/>
  <c r="J213"/>
  <c r="BK134"/>
  <c i="3" r="BK282"/>
  <c r="J125"/>
  <c r="BK329"/>
  <c r="J293"/>
  <c r="J174"/>
  <c r="BK202"/>
  <c r="BK184"/>
  <c r="J184"/>
  <c i="4" r="BK158"/>
  <c i="2" r="J134"/>
  <c r="J142"/>
  <c i="3" r="BK351"/>
  <c r="J345"/>
  <c r="BK323"/>
  <c r="BK125"/>
  <c r="J242"/>
  <c i="4" r="J174"/>
  <c r="J195"/>
  <c r="BK137"/>
  <c r="BK121"/>
  <c i="2" l="1" r="R200"/>
  <c i="3" r="R124"/>
  <c r="P350"/>
  <c i="2" r="R149"/>
  <c i="3" r="T251"/>
  <c r="R350"/>
  <c r="BK124"/>
  <c r="J124"/>
  <c r="J98"/>
  <c r="BK328"/>
  <c r="J328"/>
  <c r="J101"/>
  <c i="2" r="P149"/>
  <c i="3" r="T328"/>
  <c i="2" r="T149"/>
  <c i="3" r="P328"/>
  <c i="2" r="R124"/>
  <c r="R123"/>
  <c r="R122"/>
  <c i="3" r="T124"/>
  <c r="T123"/>
  <c r="T316"/>
  <c i="2" r="BK149"/>
  <c r="J149"/>
  <c r="J99"/>
  <c i="3" r="P124"/>
  <c r="P123"/>
  <c r="P122"/>
  <c i="1" r="AU96"/>
  <c i="3" r="R316"/>
  <c i="2" r="BK124"/>
  <c r="J124"/>
  <c r="J98"/>
  <c r="P200"/>
  <c i="4" r="BK120"/>
  <c r="J120"/>
  <c r="J98"/>
  <c i="2" r="P124"/>
  <c r="BK200"/>
  <c r="J200"/>
  <c r="J101"/>
  <c i="3" r="BK251"/>
  <c r="J251"/>
  <c r="J99"/>
  <c r="BK316"/>
  <c r="J316"/>
  <c r="J100"/>
  <c r="BK350"/>
  <c r="J350"/>
  <c r="J102"/>
  <c i="4" r="P120"/>
  <c r="P119"/>
  <c r="P118"/>
  <c i="1" r="AU97"/>
  <c i="2" r="T124"/>
  <c r="T123"/>
  <c r="T122"/>
  <c r="T200"/>
  <c i="3" r="R251"/>
  <c r="R328"/>
  <c i="4" r="T120"/>
  <c r="T119"/>
  <c r="T118"/>
  <c i="3" r="P251"/>
  <c r="P316"/>
  <c r="T350"/>
  <c i="4" r="R120"/>
  <c r="R119"/>
  <c r="R118"/>
  <c i="2" r="BK212"/>
  <c r="J212"/>
  <c r="J102"/>
  <c i="5" r="BK118"/>
  <c r="J118"/>
  <c r="J97"/>
  <c i="4" r="BK119"/>
  <c r="J119"/>
  <c r="J97"/>
  <c i="5" r="E85"/>
  <c r="J89"/>
  <c r="BE119"/>
  <c r="BE125"/>
  <c r="F92"/>
  <c i="4" r="BE131"/>
  <c i="3" r="BK123"/>
  <c r="J123"/>
  <c r="J97"/>
  <c i="4" r="BE142"/>
  <c r="BE174"/>
  <c r="J89"/>
  <c r="BE126"/>
  <c r="BE147"/>
  <c r="BE185"/>
  <c r="BE158"/>
  <c r="F92"/>
  <c r="BE163"/>
  <c r="BE169"/>
  <c r="BE206"/>
  <c r="E108"/>
  <c r="BE137"/>
  <c r="BE190"/>
  <c r="BE195"/>
  <c r="BE211"/>
  <c r="BE217"/>
  <c r="BE121"/>
  <c r="BE153"/>
  <c r="BE179"/>
  <c r="BE201"/>
  <c i="3" r="BE137"/>
  <c r="BE163"/>
  <c r="BE202"/>
  <c r="BE262"/>
  <c r="BE329"/>
  <c r="BE317"/>
  <c i="2" r="BK123"/>
  <c r="J123"/>
  <c r="J97"/>
  <c i="3" r="BE184"/>
  <c r="BE209"/>
  <c r="BE252"/>
  <c r="J89"/>
  <c r="BE335"/>
  <c r="BE174"/>
  <c r="BE190"/>
  <c r="BE196"/>
  <c r="BE224"/>
  <c r="BE215"/>
  <c r="BE235"/>
  <c r="F92"/>
  <c r="BE125"/>
  <c r="BE155"/>
  <c r="BE242"/>
  <c r="BE293"/>
  <c r="BE340"/>
  <c r="BE149"/>
  <c r="BE282"/>
  <c r="BE323"/>
  <c r="BE345"/>
  <c r="BE351"/>
  <c r="BE360"/>
  <c r="E85"/>
  <c r="BE275"/>
  <c r="BE306"/>
  <c r="BE367"/>
  <c i="2" r="BE171"/>
  <c r="BE213"/>
  <c r="E85"/>
  <c r="BE142"/>
  <c r="J89"/>
  <c r="F119"/>
  <c r="BE134"/>
  <c r="BE125"/>
  <c r="BE189"/>
  <c r="BE201"/>
  <c r="BE206"/>
  <c r="BE150"/>
  <c r="BE163"/>
  <c r="BE179"/>
  <c r="F34"/>
  <c i="1" r="BA95"/>
  <c i="4" r="F36"/>
  <c i="1" r="BC97"/>
  <c i="2" r="F36"/>
  <c i="1" r="BC95"/>
  <c i="4" r="F37"/>
  <c i="1" r="BD97"/>
  <c i="3" r="F36"/>
  <c i="1" r="BC96"/>
  <c i="3" r="F34"/>
  <c i="1" r="BA96"/>
  <c i="2" r="J34"/>
  <c i="1" r="AW95"/>
  <c i="5" r="F34"/>
  <c i="1" r="BA98"/>
  <c i="2" r="F37"/>
  <c i="1" r="BD95"/>
  <c i="5" r="F33"/>
  <c i="1" r="AZ98"/>
  <c i="3" r="J34"/>
  <c i="1" r="AW96"/>
  <c i="3" r="F35"/>
  <c i="1" r="BB96"/>
  <c i="4" r="F35"/>
  <c i="1" r="BB97"/>
  <c i="4" r="F34"/>
  <c i="1" r="BA97"/>
  <c i="3" r="F37"/>
  <c i="1" r="BD96"/>
  <c i="2" r="F35"/>
  <c i="1" r="BB95"/>
  <c i="4" r="J34"/>
  <c i="1" r="AW97"/>
  <c i="3" l="1" r="T122"/>
  <c i="2" r="P123"/>
  <c r="P122"/>
  <c i="1" r="AU95"/>
  <c i="3" r="R123"/>
  <c r="R122"/>
  <c i="5" r="BK117"/>
  <c r="J117"/>
  <c r="J96"/>
  <c i="4" r="BK118"/>
  <c r="J118"/>
  <c r="J96"/>
  <c i="3" r="BK122"/>
  <c r="J122"/>
  <c i="2" r="BK122"/>
  <c r="J122"/>
  <c r="J96"/>
  <c i="1" r="AU94"/>
  <c i="2" r="F33"/>
  <c i="1" r="AZ95"/>
  <c i="3" r="J30"/>
  <c i="1" r="AG96"/>
  <c i="4" r="J33"/>
  <c i="1" r="AV97"/>
  <c r="AT97"/>
  <c i="4" r="F33"/>
  <c i="1" r="AZ97"/>
  <c r="BD94"/>
  <c r="W33"/>
  <c r="BA94"/>
  <c r="W30"/>
  <c r="BB94"/>
  <c r="AX94"/>
  <c i="3" r="J33"/>
  <c i="1" r="AV96"/>
  <c r="AT96"/>
  <c i="2" r="J33"/>
  <c i="1" r="AV95"/>
  <c r="AT95"/>
  <c i="5" r="J33"/>
  <c i="1" r="AV98"/>
  <c r="AT98"/>
  <c i="3" r="F33"/>
  <c i="1" r="AZ96"/>
  <c r="BC94"/>
  <c r="AY94"/>
  <c l="1" r="AN96"/>
  <c i="3" r="J96"/>
  <c r="J39"/>
  <c i="5" r="J30"/>
  <c i="1" r="AG98"/>
  <c i="2" r="J30"/>
  <c i="1" r="AG95"/>
  <c r="AW94"/>
  <c r="AK30"/>
  <c r="AZ94"/>
  <c r="W29"/>
  <c r="W31"/>
  <c r="W32"/>
  <c i="4" r="J30"/>
  <c i="1" r="AG97"/>
  <c r="AN97"/>
  <c i="5" l="1" r="J39"/>
  <c i="4" r="J39"/>
  <c i="2" r="J39"/>
  <c i="1" r="AN95"/>
  <c r="AN98"/>
  <c r="AV94"/>
  <c r="AK29"/>
  <c r="AG94"/>
  <c r="AK26"/>
  <c l="1" r="AK35"/>
  <c r="AT94"/>
  <c r="AN94"/>
</calcChain>
</file>

<file path=xl/sharedStrings.xml><?xml version="1.0" encoding="utf-8"?>
<sst xmlns="http://schemas.openxmlformats.org/spreadsheetml/2006/main">
  <si>
    <t>Export Komplet</t>
  </si>
  <si>
    <t/>
  </si>
  <si>
    <t>2.0</t>
  </si>
  <si>
    <t>ZAMOK</t>
  </si>
  <si>
    <t>False</t>
  </si>
  <si>
    <t>{a78f166c-8b6e-4fa3-8fd5-52050218beff}</t>
  </si>
  <si>
    <t>0,01</t>
  </si>
  <si>
    <t>21</t>
  </si>
  <si>
    <t>12</t>
  </si>
  <si>
    <t>REKAPITULACE STAVBY</t>
  </si>
  <si>
    <t xml:space="preserve">v ---  níže se nacházejí doplnkové a pomocné údaje k sestavám  --- v</t>
  </si>
  <si>
    <t>Návod na vyplnění</t>
  </si>
  <si>
    <t>0,001</t>
  </si>
  <si>
    <t>Kód:</t>
  </si>
  <si>
    <t>CB_III/0236-001</t>
  </si>
  <si>
    <t xml:space="preserve">Měnit lze pouze buňky se žlutým podbarvením!_x000d_
_x000d_
1) na prvním listu Rekapitulace stavby vyplňte v sestavě_x000d_
_x000d_
    a) Souhrnný list_x000d_
       - údaje o Uchazeči_x000d_
         (přenesou se do ostatních sestav i v jiných listech)_x000d_
_x000d_
    b) Rekapitulace objektů_x000d_
       - potřebné Ostatní náklady_x000d_
_x000d_
2) na vybraných listech vyplňte v sestavě_x000d_
_x000d_
    a) Krycí list_x000d_
       - údaje o Uchazeči, pokud se liší od údajů o Uchazeči na Souhrnném listu_x000d_
         (údaje se přenesou do ostatních sestav v daném listu)_x000d_
_x000d_
    b) Rekapitulace rozpočtu_x000d_
       - potřebné Ostatní náklady_x000d_
_x000d_
    c) Celkové náklady za stavbu_x000d_
       - ceny u položek_x000d_
       - množství, pokud má žluté podbarvení_x000d_
       - a v případě potřeby poznámku (ta je ve skrytém sloupci)</t>
  </si>
  <si>
    <t>Stavba:</t>
  </si>
  <si>
    <t>Oprava silnice III/0236 Dobšice</t>
  </si>
  <si>
    <t>KSO:</t>
  </si>
  <si>
    <t>CC-CZ:</t>
  </si>
  <si>
    <t>Místo:</t>
  </si>
  <si>
    <t>Dobšice</t>
  </si>
  <si>
    <t>Datum:</t>
  </si>
  <si>
    <t>17. 11. 2024</t>
  </si>
  <si>
    <t>Zadavatel:</t>
  </si>
  <si>
    <t>IČ:</t>
  </si>
  <si>
    <t>70890650</t>
  </si>
  <si>
    <t>Jihočeský kraj</t>
  </si>
  <si>
    <t>DIČ:</t>
  </si>
  <si>
    <t>CZ70890650</t>
  </si>
  <si>
    <t>Uchazeč:</t>
  </si>
  <si>
    <t>Vyplň údaj</t>
  </si>
  <si>
    <t>Projektant:</t>
  </si>
  <si>
    <t>70971641</t>
  </si>
  <si>
    <t>Správa a údržba silnic Jihočeského kraje p.o.</t>
  </si>
  <si>
    <t>CZ70971641</t>
  </si>
  <si>
    <t>True</t>
  </si>
  <si>
    <t>Zpracovatel:</t>
  </si>
  <si>
    <t>Petr Nachtigal 606 633 836</t>
  </si>
  <si>
    <t>Poznámka:</t>
  </si>
  <si>
    <t>Délka realizace: 25 kalendářních dnů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</si>
  <si>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</si>
  <si>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</si>
  <si>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</si>
  <si>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</si>
  <si>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</si>
  <si>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</si>
  <si>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</si>
  <si>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</si>
  <si>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</si>
  <si>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</si>
  <si>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</si>
  <si>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</si>
  <si>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</si>
  <si>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</si>
  <si>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</si>
  <si>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</si>
  <si>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</si>
  <si>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</si>
  <si>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Uchazeč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</si>
  <si>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</si>
  <si>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</si>
  <si>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</si>
  <si>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</si>
  <si>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</si>
  <si>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</si>
  <si>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</si>
  <si>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</si>
  <si>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</si>
  <si>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</si>
  <si>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</si>
  <si>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</si>
  <si>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</si>
  <si>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</si>
  <si>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</si>
  <si>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</si>
  <si>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</si>
  <si>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</si>
  <si>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</si>
  <si>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z rozpočtů</t>
  </si>
  <si>
    <t>D</t>
  </si>
  <si>
    <t>0</t>
  </si>
  <si>
    <t>###NOIMPORT###</t>
  </si>
  <si>
    <t>IMPORT</t>
  </si>
  <si>
    <t>{00000000-0000-0000-0000-000000000000}</t>
  </si>
  <si>
    <t>/</t>
  </si>
  <si>
    <t>SO101</t>
  </si>
  <si>
    <t>Oprava silnice III/0236 Dobšice, staničení km 2,709-3,130</t>
  </si>
  <si>
    <t>STA</t>
  </si>
  <si>
    <t>1</t>
  </si>
  <si>
    <t>{4cd1a291-50a6-4012-85fa-d0cbface1371}</t>
  </si>
  <si>
    <t>2</t>
  </si>
  <si>
    <t>SO102</t>
  </si>
  <si>
    <t>Oprava silnice III/0236 Dobšice, staničení km 3,130-3,735</t>
  </si>
  <si>
    <t>{52cd9790-336c-434c-aa17-eb9c53fb024f}</t>
  </si>
  <si>
    <t>SO103</t>
  </si>
  <si>
    <t>DIO</t>
  </si>
  <si>
    <t>{9506ced6-5e9a-4d8f-b4fb-3776911e583d}</t>
  </si>
  <si>
    <t>SO104</t>
  </si>
  <si>
    <t xml:space="preserve">Doplňující údaje </t>
  </si>
  <si>
    <t>{747ce30f-9682-49ef-9917-d6fb554d38a0}</t>
  </si>
  <si>
    <t>KRYCÍ LIST SOUPISU PRACÍ</t>
  </si>
  <si>
    <t>Objekt:</t>
  </si>
  <si>
    <t>SO101 - Oprava silnice III/0236 Dobšice, staničení km 2,709-3,130</t>
  </si>
  <si>
    <t>REKAPITULACE ČLENĚNÍ SOUPISU PRACÍ</t>
  </si>
  <si>
    <t>Kód dílu - Popis</t>
  </si>
  <si>
    <t>Cena celkem [CZK]</t>
  </si>
  <si>
    <t>Náklady ze soupisu prací</t>
  </si>
  <si>
    <t>-1</t>
  </si>
  <si>
    <t>HSV - Práce a dodávky HSV</t>
  </si>
  <si>
    <t xml:space="preserve">    1 - Zemní práce</t>
  </si>
  <si>
    <t xml:space="preserve">    5 - Komunikace pozemní</t>
  </si>
  <si>
    <t xml:space="preserve">    8 - Trubní vedení</t>
  </si>
  <si>
    <t xml:space="preserve">    9 - Ostatní konstrukce a práce, bourání</t>
  </si>
  <si>
    <t>OST - Ostatní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</si>
  <si>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</si>
  <si>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</si>
  <si>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</si>
  <si>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</si>
  <si>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</si>
  <si>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</si>
  <si>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</si>
  <si>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</si>
  <si>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</si>
  <si>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</si>
  <si>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</si>
  <si>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</si>
  <si>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</si>
  <si>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</si>
  <si>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Práce a dodávky HSV</t>
  </si>
  <si>
    <t>ROZPOCET</t>
  </si>
  <si>
    <t>Zemní práce</t>
  </si>
  <si>
    <t>K</t>
  </si>
  <si>
    <t>11372A</t>
  </si>
  <si>
    <t>FRÉZOVÁNÍ ZPEVNĚNÝCH PLOCH ASFALTOVÝCH - BEZ DOPRAVY</t>
  </si>
  <si>
    <t>M3</t>
  </si>
  <si>
    <t>OTSKP 2024</t>
  </si>
  <si>
    <t>4</t>
  </si>
  <si>
    <t>-83527152</t>
  </si>
  <si>
    <t>PP</t>
  </si>
  <si>
    <t>PSC</t>
  </si>
  <si>
    <t>Poznámka k souboru cen:_x000d_
Položka zahrnuje: - veškerou manipulaci s vybouranou sutí a s vybouranými hmotami, kromě vodorovné dopravy, vč. uložení na skládku. Položka nezahrnuje: - vodorovnou dopravu - poplatek za skládku, který se vykazuje v položce 0141** (s výjimkou malého množství bouraného materiálu, kde je možné poplatek zahrnout do jednotkové ceny bourání – tento fakt musí být uveden v doplňujícím textu k položce).</t>
  </si>
  <si>
    <t>VV</t>
  </si>
  <si>
    <t xml:space="preserve">v tl. 50 mm </t>
  </si>
  <si>
    <t>vyfrézovaný materiál bude použit do RS CA</t>
  </si>
  <si>
    <t>délka 28</t>
  </si>
  <si>
    <t>šířka 1</t>
  </si>
  <si>
    <t>hloubka 0,05</t>
  </si>
  <si>
    <t>28*1*0,05</t>
  </si>
  <si>
    <t>10</t>
  </si>
  <si>
    <t>12922</t>
  </si>
  <si>
    <t>ČIŠTĚNÍ KRAJNIC OD NÁNOSU TL. DO 100MM</t>
  </si>
  <si>
    <t>M2</t>
  </si>
  <si>
    <t>1704054789</t>
  </si>
  <si>
    <t>Poznámka k souboru cen:_x000d_
Položka zahrnuje: - vodorovnou a svislou dopravu, přemístění, přeložení, manipulace s materiálem a uložení na skládku. Položka nezahrnuje: - poplatek za skládku, který se vykazuje v položce 0141** (s výjimkou malého množství materiálu, kde je možné poplatek zahrnout do jednotkové ceny položky – tento fakt musí být uveden v doplňujícím textu k položce)</t>
  </si>
  <si>
    <t>s odvozem na skládku do 25 km</t>
  </si>
  <si>
    <t>délka 421</t>
  </si>
  <si>
    <t>počet 2</t>
  </si>
  <si>
    <t>šířka 0,6</t>
  </si>
  <si>
    <t>421*2*0,6</t>
  </si>
  <si>
    <t>11</t>
  </si>
  <si>
    <t>12931</t>
  </si>
  <si>
    <t>ČIŠTĚNÍ PŘÍKOPŮ OD NÁNOSU DO 0,25M3/M</t>
  </si>
  <si>
    <t>M</t>
  </si>
  <si>
    <t>1670220835</t>
  </si>
  <si>
    <t>s odvozem na skládku do 24 km</t>
  </si>
  <si>
    <t>délka 270</t>
  </si>
  <si>
    <t>270*0,6</t>
  </si>
  <si>
    <t>5</t>
  </si>
  <si>
    <t>Komunikace pozemní</t>
  </si>
  <si>
    <t>567541</t>
  </si>
  <si>
    <t>VRSTVY PRO OBNOVU A OPRAVY RECYK ZA STUDENA CEM TL DO 200MM</t>
  </si>
  <si>
    <t>-66793765</t>
  </si>
  <si>
    <t>Poznámka k souboru cen:_x000d_
Položka zahrnuje: - dodání materiálů předepsaných pro recyklaci za studena - provedení recyklace dle předepsaného technologického předpisu, zhutnění vrstvy v předepsané tloušťce - zřízení vrstvy bez rozlišení šířky, pokládání vrstvy po etapách - úpravu napojení, ukončení Položka nezahrnuje: - postřiky, nátěry</t>
  </si>
  <si>
    <t>ČSN 736147</t>
  </si>
  <si>
    <t>v tl. 200 mm</t>
  </si>
  <si>
    <t>Recyklaci provést ve dvou krocích:</t>
  </si>
  <si>
    <t>1. krok - rozfrézování stávajících podkladních vrstev v tl. 200 mm s reprofilací a homogenizací podélného i příčného profilu</t>
  </si>
  <si>
    <t xml:space="preserve">v rámci tohoto kroku bude veškerý rozfrézovaný  materiál napadaný na přilehlý terén včetně svahů uklizen a vrácen zpět do konstrukce vozovky</t>
  </si>
  <si>
    <t xml:space="preserve">2. krok - provedení recyklace za studena RS CA dle TP 150 MD ČR a ČSN EN 736147  včetně případných ITT/průkazných zkoušek v tl. 200 mm</t>
  </si>
  <si>
    <t>předpokládané dávkování 4% hydraulických pojiv a 2% asfaltových pojiv, bude upřesněno na základě rozboru</t>
  </si>
  <si>
    <t>délka 420</t>
  </si>
  <si>
    <t>šířka 5,8</t>
  </si>
  <si>
    <t>420*5,8</t>
  </si>
  <si>
    <t>22</t>
  </si>
  <si>
    <t>56962</t>
  </si>
  <si>
    <t>ZPEVNĚNÍ KRAJNIC Z RECYKLOVANÉHO MATERIÁLU TL DO 100MM</t>
  </si>
  <si>
    <t>-1609770311</t>
  </si>
  <si>
    <t>Poznámka k souboru cen:_x000d_
- dodání recyklátu v požadované kvalitě - očištění podkladu - uložení recyklátu dle předepsaného technologického předpisu, zhutnění vrstvy v předepsané tloušťce - zřízení vrstvy bez rozlišení šířky, pokládání vrstvy po etapách, včetně pracovních spar a spojů - úpravu napojení, ukončení - nezahrnuje postřiky, nátěry</t>
  </si>
  <si>
    <t>z rec. materiálu., zrnitost 0 - 16 mm se zhutněním, tl. do 100 mm, š = 0,6 m (dosypání rýhy v krajnici po pokládce AHV a krajnice)</t>
  </si>
  <si>
    <t>17</t>
  </si>
  <si>
    <t>572223</t>
  </si>
  <si>
    <t>SPOJOVACÍ POSTŘIK Z EMULZE DO 1,0KG/M2</t>
  </si>
  <si>
    <t>-72417654</t>
  </si>
  <si>
    <t>Poznámka k souboru cen:_x000d_
Položka zahrnuje: - dodání všech předepsaných materiálů pro postřiky v předepsaném množství - provedení dle předepsaného technologického předpisu - zřízení vrstvy bez rozlišení šířky, pokládání vrstvy po etapách - úpravu napojení, ukončení Položka nezahrnuje: - x</t>
  </si>
  <si>
    <t>v množství zbytkového pojiva 0,2-0,65 kg/m2</t>
  </si>
  <si>
    <t>ČSN 736129, TKP kap.26</t>
  </si>
  <si>
    <t>šířka 5,9</t>
  </si>
  <si>
    <t>421*5,9</t>
  </si>
  <si>
    <t>15</t>
  </si>
  <si>
    <t>574A44</t>
  </si>
  <si>
    <t>ASFALTOVÝ BETON PRO OBRUSNÉ VRSTVY ACO 11+ TL. 50MM</t>
  </si>
  <si>
    <t>360662816</t>
  </si>
  <si>
    <t>Poznámka k souboru cen:_x000d_
Položka zahrnuje: - dodání směsi v požadované kvalitě - očištění podkladu - uložení směsi dle předepsaného technologického předpisu, zhutnění vrstvy v předepsané tloušťce - zřízení vrstvy bez rozlišení šířky, pokládání vrstvy po etapách, včetně pracovních spar a spojů - úpravu napojení, ukončení podél obrubníků, dilatačních zařízení, odvodňovacích proužků, odvodňovačů, vpustí, šachet a pod. Položka nezahrnuje: - postřiky, nátěry - těsnění podél obrubníků, dilatačních zařízení, odvodňovacích proužků, odvodňovačů, vpustí, šachet a pod.</t>
  </si>
  <si>
    <t>ACO 11+ (50/70)</t>
  </si>
  <si>
    <t>ČSN 736121,TKP kap.7</t>
  </si>
  <si>
    <t>šířka 0,05</t>
  </si>
  <si>
    <t>421*5,8+421*0,05</t>
  </si>
  <si>
    <t>18</t>
  </si>
  <si>
    <t>574C46</t>
  </si>
  <si>
    <t>ASFALTOVÝ BETON PRO LOŽNÍ VRSTVY ACL 16+, 16S TL. 50MM</t>
  </si>
  <si>
    <t>-624421636</t>
  </si>
  <si>
    <t>ACL 16+ (50/70)</t>
  </si>
  <si>
    <t>ČSN 736121, TKP kap.7</t>
  </si>
  <si>
    <t>délka 420,5</t>
  </si>
  <si>
    <t>šířka 0,15</t>
  </si>
  <si>
    <t>420,5*5,8+420,5*0,15</t>
  </si>
  <si>
    <t>8</t>
  </si>
  <si>
    <t>Trubní vedení</t>
  </si>
  <si>
    <t>9</t>
  </si>
  <si>
    <t>Ostatní konstrukce a práce, bourání</t>
  </si>
  <si>
    <t>24</t>
  </si>
  <si>
    <t>91228</t>
  </si>
  <si>
    <t>SMĚROVÉ SLOUPKY Z PLAST HMOT VČETNĚ ODRAZNÉHO PÁSKU</t>
  </si>
  <si>
    <t>KUS</t>
  </si>
  <si>
    <t>-1410633854</t>
  </si>
  <si>
    <t>Poznámka k souboru cen:_x000d_
Položka zahrnuje: - dodání a osazení sloupku včetně nutných zemních prací - vnitrostaveništní a mimostaveništní doprava - odrazky plastové nebo z retroreflexní fólie Položka nezahrnuje: - x</t>
  </si>
  <si>
    <t>počet 12</t>
  </si>
  <si>
    <t>14</t>
  </si>
  <si>
    <t>915111C</t>
  </si>
  <si>
    <t>VODOROVNÉ DOPRAVNÍ ZNAČENÍ BARVOU HLADKÉ - VODÍCÍ, STŘEDOVÁ ČÁRA 125 MM S BALOTINOU ZŘÍZENÍ</t>
  </si>
  <si>
    <t>-1971000286</t>
  </si>
  <si>
    <t>Technická specifikace: položka zahrnuje:
- dodání a pokládku nátěrového materiálu (měří se pouze natíraná plocha)
- předznačení a reflexní úpravu</t>
  </si>
  <si>
    <t>vodící čára</t>
  </si>
  <si>
    <t>421*2</t>
  </si>
  <si>
    <t>OST</t>
  </si>
  <si>
    <t>Ostatní</t>
  </si>
  <si>
    <t>23</t>
  </si>
  <si>
    <t>014122</t>
  </si>
  <si>
    <t>POPLATKY ZA SKLÁDKU TYP S-OO (OSTATNÍ ODPAD)</t>
  </si>
  <si>
    <t>T</t>
  </si>
  <si>
    <t>512</t>
  </si>
  <si>
    <t>-1280347018</t>
  </si>
  <si>
    <t>Poznámka k souboru cen:_x000d_
Položka zahrnuje: - veškeré poplatky provozovateli skládky související s uložením odpadu na skládce. Položka nezahrnuje: - x</t>
  </si>
  <si>
    <t>krajnice, příkopy, objemová hmotnost před těžením 1,8 t/m3</t>
  </si>
  <si>
    <t>plocha 505,2</t>
  </si>
  <si>
    <t>hloubka 0,1</t>
  </si>
  <si>
    <t>koeficient 1,8</t>
  </si>
  <si>
    <t>délka 162</t>
  </si>
  <si>
    <t>koeficient 0,25</t>
  </si>
  <si>
    <t>505,2*0,1*1,8+162*0,25*1,8</t>
  </si>
  <si>
    <t>SO102 - Oprava silnice III/0236 Dobšice, staničení km 3,130-3,735</t>
  </si>
  <si>
    <t>26</t>
  </si>
  <si>
    <t>113432</t>
  </si>
  <si>
    <t>ODSTRAN KRYTU ZPEVNĚNÝCH PLOCH S ASFALT POJIVEM VČET PODKLADU, ODVOZ DO 2KM</t>
  </si>
  <si>
    <t>-944788836</t>
  </si>
  <si>
    <t>Poznámka k souboru cen:_x000d_
Položka zahrnuje veškerou manipulaci s vybouranou sutí a s vybouranými hmotami vč. uložení na skládku. Nezahrnuje poplatek za skládku, který se vykazuje v položce 0141** (s výjimkou malého množství bouraného materiálu, kde je možné poplatek zahrnout do jednotkové ceny bourání – tento fakt musí být uveden v doplňujícím textu k položce).</t>
  </si>
  <si>
    <t>v prům. tl. 140 mm</t>
  </si>
  <si>
    <t xml:space="preserve">ložná vrstva, PM + lok.výspravy z AC  s odvozem na mezideponii  k dalšímu využití pro RS CA dle ČSN 736147 </t>
  </si>
  <si>
    <t>s předpokládanou potřebou úpravy zrnitosti předrcením na vhodnou frakci max. 0/63 mm</t>
  </si>
  <si>
    <t>do nové konstrukce vozovky - zajistí zhotovitel</t>
  </si>
  <si>
    <t>položka zahrnuje zpětný převoz a rozprostření z mezideponie do 2 km</t>
  </si>
  <si>
    <t>délka 604</t>
  </si>
  <si>
    <t>šířka 6</t>
  </si>
  <si>
    <t>hloubka 0,14</t>
  </si>
  <si>
    <t>604*6*0,14</t>
  </si>
  <si>
    <t>včetně připojení</t>
  </si>
  <si>
    <t>délka 605</t>
  </si>
  <si>
    <t>délka 9,8+9,6+15+16+14+9+24+6+43+12+15+6</t>
  </si>
  <si>
    <t>605*6*0,05+(9,8+9,6+15+16+14+9+24+6+43+12+15+6)*1*0,05</t>
  </si>
  <si>
    <t>35</t>
  </si>
  <si>
    <t>11372R</t>
  </si>
  <si>
    <t xml:space="preserve">ODKUP A ODVOZ ASFALTOVĚHO RECYKLÁTU ZHOTOVITELEM- OBJEMOVÁ HMOTNOST PŘED FRÉZOVÁNÍM 2,4 T/M3; CENA -1,-KČ/T </t>
  </si>
  <si>
    <t>1568851256</t>
  </si>
  <si>
    <t xml:space="preserve">ODKUP A ODVOZ ASFALTOVĚHO RECYKLÁTU ZHOTOVITELEM- OBJEMOVÁ HMOTNOST PŘED FRÉZOVÁNÍM 2,4 T/M3; CENA 1,-KČ/T </t>
  </si>
  <si>
    <t>PAU skupina ZAS T3</t>
  </si>
  <si>
    <t>objem 190,47</t>
  </si>
  <si>
    <t>koeficient 2,4</t>
  </si>
  <si>
    <t>190,47*2,4</t>
  </si>
  <si>
    <t>27</t>
  </si>
  <si>
    <t>122738</t>
  </si>
  <si>
    <t>ODKOPÁVKY A PROKOPÁVKY OBECNÉ TŘ. I, ODVOZ DO 20KM</t>
  </si>
  <si>
    <t>1587438086</t>
  </si>
  <si>
    <t>Poznámka k souboru cen:_x000d_
Položka zahrnuje: - vodorovnou a svislou dopravu, přemístění, přeložení, manipulace s výkopkem - kompletní provedení vykopávky nezapažené i zapažené - ošetření výkopiště po celou dobu práce v něm vč. klimatických opatření - ztížení vykopávek v blízkosti podzemního vedení, konstrukcí a objektů vč. jejich dočasného zajištění - ztížení pod vodou, v okolí výbušnin, ve stísněných prostorech a pod. - příplatek za lepivost - těžení po vrstvách, pásech a po jiných nutných částech (figurách) - čerpání vody vč. čerpacích jímek, potrubí a pohotovostní čerpací soupravy (viz ustanovení k pol. 1151,2) - potřebné snížení hladiny podzemní vody - těžení a rozpojování jednotlivých balvanů - vytahování a nošení výkopku - svahování a přesvah. svahů do konečného tvaru, výměna hornin v podloží a v pláni znehodnocené klimatickými vlivy - ruční vykopávky, odstranění kořenů a napadávek - pažení, vzepření a rozepření vč. přepažování (vyjma pažení záporového a štětových stěn) - úpravu, ochranu a očištění dna, základové spáry, stěn a svahů - zhutnění podloží, případně i svahů vč. svahování - zřízení stupňů v podloží a lavic na svazích, není-li pro tyto práce zřízena samostatná položka - udržování výkopiště a jeho ochrana proti vodě - odvedení nebo obvedení vody v okolí výkopiště a ve výkopišti - třídění výkopku - veškeré pomocné konstrukce umožňující provedení vykopávky (příjezdy, sjezdy, nájezdy, lešení, podpěr. konstr., přemostění, zpevněné plochy, zakrytí a pod.) Položka nezahrnuje: - uložení zeminy (na skládku, do násypu) ani poplatky za skládku, vykazují se v položce č.0141**</t>
  </si>
  <si>
    <t>v průměrné tl. 110 mm na niveletu -300 mm</t>
  </si>
  <si>
    <t>hloubka 0,11</t>
  </si>
  <si>
    <t>604*6*0,11</t>
  </si>
  <si>
    <t>41</t>
  </si>
  <si>
    <t>-1015780504</t>
  </si>
  <si>
    <t>silniční obruby, žlaby</t>
  </si>
  <si>
    <t>délka 67</t>
  </si>
  <si>
    <t>šířka 0,65</t>
  </si>
  <si>
    <t>hloubka 0,2</t>
  </si>
  <si>
    <t>délka 68</t>
  </si>
  <si>
    <t>šířka 0,2</t>
  </si>
  <si>
    <t>hloubka 0,15</t>
  </si>
  <si>
    <t>67*0,65*0,2+68*0,2*0,15</t>
  </si>
  <si>
    <t>50</t>
  </si>
  <si>
    <t>1159009222</t>
  </si>
  <si>
    <t>hloubka v prům.tl 0,4 m (zemina v aktivní zóně) - sanace</t>
  </si>
  <si>
    <t>předpoklad 10% plochy</t>
  </si>
  <si>
    <t>hloubka 0,4</t>
  </si>
  <si>
    <t>koecifient 0,1</t>
  </si>
  <si>
    <t>604*6*0,4*0,1</t>
  </si>
  <si>
    <t>36</t>
  </si>
  <si>
    <t>122739</t>
  </si>
  <si>
    <t>PŘÍPLATEK ZA DALŠÍ 1KM DOPRAVY ZEMINY I.</t>
  </si>
  <si>
    <t>427472445</t>
  </si>
  <si>
    <t>Poznámka k souboru cen:_x000d_
Položka zahrnuje: - příplatek k vodorovnému přemístění zeminy za každý další 1km nad 20km Položka nezahrnuje: - x</t>
  </si>
  <si>
    <t>objem 398,64</t>
  </si>
  <si>
    <t>vzdálenost 4</t>
  </si>
  <si>
    <t>399,64*4</t>
  </si>
  <si>
    <t>42</t>
  </si>
  <si>
    <t>-1793494781</t>
  </si>
  <si>
    <t>objem 10,75</t>
  </si>
  <si>
    <t>10,75*4</t>
  </si>
  <si>
    <t>51</t>
  </si>
  <si>
    <t>-862404224</t>
  </si>
  <si>
    <t>objem 144,96</t>
  </si>
  <si>
    <t>144,96*4</t>
  </si>
  <si>
    <t>délka 695</t>
  </si>
  <si>
    <t>695*0,6</t>
  </si>
  <si>
    <t>délka 340</t>
  </si>
  <si>
    <t>340</t>
  </si>
  <si>
    <t>31</t>
  </si>
  <si>
    <t>17180</t>
  </si>
  <si>
    <t>ULOŽENÍ SYPANINY DO NÁSYPŮ Z NAKUPOVANÝCH MATERIÁLŮ</t>
  </si>
  <si>
    <t>-379923623</t>
  </si>
  <si>
    <t>Poznámka k souboru cen:_x000d_
položka zahrnuje: - kompletní provedení zemní konstrukce (násypového tělesa včetně aktivní zóny) včetně nákupu a dopravy materiálu dle zadávací dokumentace- úprava ukládaného materiálu vlhčením, tříděním, promícháním nebo vysoušením, příp. jiné úpravy za účelem zlepšení jeho mech. vlastností- hutnění i různé míry hutnění - ošetření úložiště po celou dobu práce v něm vč. klimatických opatření- ztížení v okolí vedení, konstrukcí a objektů a jejich dočasné zajištění- ztížení provádění vč. hutnění ve ztížených podmínkách a stísněných prostorech- ztížené ukládání sypaniny pod vodu- ukládání po vrstvách a po jiných nutných částech (figurách) vč. dosypávek- spouštění a nošení materiálu- výměna částí zemní konstrukce znehodnocené klimatickými vlivy- ruční hutnění a výplň jam a prohlubní v podloží- úprava, očištění, ochrana a zhutnění podloží- svahování, hutnění a uzavírání povrchů svahů- zřízení lavic na svazích- udržování úložiště a jeho ochrana proti vodě- odvedení nebo obvedení vody v okolí úložiště a v úložišti- veškeré pomocné konstrukce umožňující provedení zemní konstrukce (příjezdy, sjezdy, nájezdy, lešení, podpěrné konstrukce, přemostění, zpevněné plochy, zakrytí a pod.)</t>
  </si>
  <si>
    <t xml:space="preserve">doplnění podloží vhodným nenamrzavým materiálem pro aktivní zónu ve smyslu ČSN 736133 za odvezenou zeminu a asf. rec., např. frakce 0/125 v tl. 60 mm </t>
  </si>
  <si>
    <t>(doplnění RS CA)</t>
  </si>
  <si>
    <t>hloubka 0,06</t>
  </si>
  <si>
    <t>604*6*0,06</t>
  </si>
  <si>
    <t>52</t>
  </si>
  <si>
    <t>819124768</t>
  </si>
  <si>
    <t>doplnění podloží vhodným nenamrzavým materiálem pro aktivní zónu ve smyslu ČSN 736133 za odvezenou zeminu, např. frakce 0/125 v tl. 0,25m</t>
  </si>
  <si>
    <t>(min. parametr Edef2 60 Mpa)</t>
  </si>
  <si>
    <t>v místech hloubkové sanace, předpoklad 10% plochy</t>
  </si>
  <si>
    <t>hloubka 0,25</t>
  </si>
  <si>
    <t>koeficient 0,1</t>
  </si>
  <si>
    <t>604*6*0,25*0,1</t>
  </si>
  <si>
    <t>34</t>
  </si>
  <si>
    <t>18110</t>
  </si>
  <si>
    <t>ÚPRAVA PLÁNĚ SE ZHUTNĚNÍM V HORNINĚ TŘ. I</t>
  </si>
  <si>
    <t>-957479374</t>
  </si>
  <si>
    <t>Poznámka k souboru cen:_x000d_
položka zahrnuje úpravu pláně včetně vyrovnání výškových rozdílů. Míru zhutnění určuje projekt.</t>
  </si>
  <si>
    <t>Tř 1-4 (min. parametr Edef2 45 Mpa)</t>
  </si>
  <si>
    <t>604*6</t>
  </si>
  <si>
    <t>55</t>
  </si>
  <si>
    <t>149279988</t>
  </si>
  <si>
    <t xml:space="preserve">Tř 1-4 (min. parametr Edef2  45 Mpa)</t>
  </si>
  <si>
    <t>604*6*0,1</t>
  </si>
  <si>
    <t>54</t>
  </si>
  <si>
    <t>567303</t>
  </si>
  <si>
    <t>VRSTVY PRO OBNOVU A OPRAVY ZE ŠTĚRKODRTI</t>
  </si>
  <si>
    <t>-2140592645</t>
  </si>
  <si>
    <t>Poznámka k souboru cen:_x000d_
- dodání kameniva předepsané kvality a zrnitosti- rozprostření a zhutnění vrstvy v předepsané tloušťce- zřízení vrstvy bez rozlišení šířky, pokládání vrstvy po etapách- nezahrnuje postřiky, nátěry</t>
  </si>
  <si>
    <t>(min. parametr Edef2 80 Mpa)</t>
  </si>
  <si>
    <t>604*6*0,15*0,1</t>
  </si>
  <si>
    <t>37</t>
  </si>
  <si>
    <t>-745796055</t>
  </si>
  <si>
    <t>v tl. 200 mm na niveletu -100 mm</t>
  </si>
  <si>
    <t>z rec. materiálu., zrnitost 0 - 16 mm se zhutněním, tl. do 100 mm, š = 0,9 m (dosypání rýhy v krajnici po pokládce AHV a krajnice)</t>
  </si>
  <si>
    <t>šířka 6,1</t>
  </si>
  <si>
    <t>605*6,1+(9,8+9,6+15+16+14+9+24+6+43+12+15+6)*1</t>
  </si>
  <si>
    <t>605*6+605*0,05+(9,8+9,6+15+16+14+9+24+6+43+12+15+6)*1</t>
  </si>
  <si>
    <t>délka 604,5</t>
  </si>
  <si>
    <t>604,5*6+604,5*0,15</t>
  </si>
  <si>
    <t>43</t>
  </si>
  <si>
    <t>89711</t>
  </si>
  <si>
    <t>VPUSŤ KANALIZAČNÍ ULIČNÍ KOMPLETNÍ MONOLIT BETON</t>
  </si>
  <si>
    <t>1200608048</t>
  </si>
  <si>
    <t>Poznámka k souboru cen:_x000d_
Položka zahrnuje: - mříže s rámem, koše na bahno, - dodání čerstvého betonu (betonové směsi) požadované kvality, jeho uložení do požadovaného tvaru při jakékoliv hustotě výztuže, konzistenci čerstvého betonu a způsobu hutnění, ošetření a ochranu betonu, - zhotovení nepropustného, mrazuvzdorného betonu a betonu požadované trvanlivosti a vlastností, - užití potřebných přísad a technologií výroby betonu, - zřízení pracovních a dilatačních spar, včetně potřebných úprav, výplně, vložek, opracování, očištění a ošetření, - bednění požadovaných konstr. (i ztracené) s úpravou dle požadované kvality povrchu betonu, včetně odbedňovacích a odskružovacích prostředků, - zřízení všech požadovaných otvorů, kapes, výklenků, prostupů, dutin, drážek a pod., vč. ztížení práce a úprav kolem nich, - nátěry zabraňující soudržnost betonu a bednění, - výplň, těsnění a tmelení spar a spojů, - opatření povrchů betonu izolací proti zemní vlhkosti v částech, kde přijdou do styku se zeminou nebo kamenivem, - předepsané podkladní konstrukce Položka nezahrnuje: - x</t>
  </si>
  <si>
    <t>výměna za dvě stávající</t>
  </si>
  <si>
    <t>32</t>
  </si>
  <si>
    <t>89922</t>
  </si>
  <si>
    <t>VÝŠKOVÁ ÚPRAVA MŘÍŽÍ</t>
  </si>
  <si>
    <t>-1910417227</t>
  </si>
  <si>
    <t>Poznámka k souboru cen:_x000d_
Položka zahrnuje: - všechny nutné práce a materiály pro zvýšení nebo snížení zařízení (včetně nutné úpravy stávajícího povrchu vozovky nebo chodníku) Položka nezahrnuje: - x</t>
  </si>
  <si>
    <t>počet 1</t>
  </si>
  <si>
    <t>605*2</t>
  </si>
  <si>
    <t>39</t>
  </si>
  <si>
    <t>917224</t>
  </si>
  <si>
    <t>SILNIČNÍ A CHODNÍKOVÉ OBRUBY Z BETONOVÝCH OBRUBNÍKŮ ŠÍŘ 150MM</t>
  </si>
  <si>
    <t>1416912408</t>
  </si>
  <si>
    <t>Poznámka k souboru cen:_x000d_
Položka zahrnuje: - dodání a pokládku betonových obrubníků o rozměrech předepsaných zadávací dokumentací - betonové lože i boční betonovou opěrku Položka nezahrnuje: - x</t>
  </si>
  <si>
    <t>67</t>
  </si>
  <si>
    <t>40</t>
  </si>
  <si>
    <t>935212</t>
  </si>
  <si>
    <t>PŘÍKOPOVÉ ŽLABY Z BETON TVÁRNIC ŠÍŘ DO 600MM DO BETONU TL 100MM</t>
  </si>
  <si>
    <t>894102547</t>
  </si>
  <si>
    <t>Poznámka k souboru cen:_x000d_
Položka zahrnuje: - dodávku a uložení příkopových tvárnic předepsaného rozměru a kvality - dodání a rozprostření lože z předepsaného materiálu v předepsané kvalitěa v předepsané tloušťce - veškerou manipulaci s materiálem, vnitrostaveništní i mimostaveništní dopravu - ukončení, patky, spárování Položka nezahrnuje: - x Způsob měření: - měří se v metrech běžných délky osy žlabu</t>
  </si>
  <si>
    <t>68</t>
  </si>
  <si>
    <t>44</t>
  </si>
  <si>
    <t>96687</t>
  </si>
  <si>
    <t>VYBOURÁNÍ ULIČNÍCH VPUSTÍ KOMPLETNÍCH</t>
  </si>
  <si>
    <t>-1311344186</t>
  </si>
  <si>
    <t>Poznámka k souboru cen:_x000d_
Položka zahrnuje: - kompletní bourací práce včetně nezbytného rozsahu zemních prací, - veškerou manipulaci s vybouranou sutí a hmotami včetně uložení na skládku, - veškeré další práce plynoucí z technologického předpisu a z platných předpisů, Položka nezahrnuje: - poplatek za skládku, který se vykazuje v položce 0141** (s výjimkou malého množství bouraného materiálu, kde je možné poplatek zahrnout do jednotkové ceny bourání – tento fakt musí být uveden v doplňujícím textu k položce)</t>
  </si>
  <si>
    <t>28</t>
  </si>
  <si>
    <t>014102</t>
  </si>
  <si>
    <t>POPLATKY ZA SKLÁDKU</t>
  </si>
  <si>
    <t>-1202650586</t>
  </si>
  <si>
    <t>odkopávky, objemová hmotnost před těžením 1,8 t/m3</t>
  </si>
  <si>
    <t>(398,64+10,75+144,96)*1,8</t>
  </si>
  <si>
    <t>45</t>
  </si>
  <si>
    <t>1460363028</t>
  </si>
  <si>
    <t>stávající dvě uliční vpustě</t>
  </si>
  <si>
    <t>objem 0,5</t>
  </si>
  <si>
    <t>koeficient 2,6</t>
  </si>
  <si>
    <t>0,5*2,6</t>
  </si>
  <si>
    <t>plocha 417</t>
  </si>
  <si>
    <t>417*0,1*1,8+340*0,25*1,8</t>
  </si>
  <si>
    <t>SO103 - DIO</t>
  </si>
  <si>
    <t>914122</t>
  </si>
  <si>
    <t>DOPRAVNÍ ZNAČKY ZÁKLADNÍ VELIKOSTI OCELOVÉ FÓLIE TŘ 1 - MONTÁŽ S PŘEMÍSTĚNÍM</t>
  </si>
  <si>
    <t>180329204</t>
  </si>
  <si>
    <t>Poznámka k souboru cen:_x000d_
položka zahrnuje: - dopravu demontované značky z dočasné skládky - osazení a montáž značky na místě určeném projektem - nutnou opravu poškozených částí nezahrnuje dodávku značky</t>
  </si>
  <si>
    <t>počet 45</t>
  </si>
  <si>
    <t>914123</t>
  </si>
  <si>
    <t>DOPRAVNÍ ZNAČKY ZÁKLADNÍ VELIKOSTI OCELOVÉ FÓLIE TŘ 1 - DEMONTÁŽ</t>
  </si>
  <si>
    <t>2137435945</t>
  </si>
  <si>
    <t>Poznámka k souboru cen:_x000d_
Položka zahrnuje odstranění, demontáž a odklizení materiálu s odvozem na předepsané místo</t>
  </si>
  <si>
    <t>3</t>
  </si>
  <si>
    <t>914129</t>
  </si>
  <si>
    <t>DOPRAV ZNAČKY ZÁKLAD VEL OCEL FÓLIE TŘ 1 - NÁJEMNÉ</t>
  </si>
  <si>
    <t>KSDEN</t>
  </si>
  <si>
    <t>-254528290</t>
  </si>
  <si>
    <t>Poznámka k souboru cen:_x000d_
položka zahrnuje sazbu za pronájem dopravních značek a zařízení, počet jednotek je určen jako součin počtu značek a počtu dní použití</t>
  </si>
  <si>
    <t>dny 25</t>
  </si>
  <si>
    <t>45*25</t>
  </si>
  <si>
    <t>914422</t>
  </si>
  <si>
    <t>DOPRAVNÍ ZNAČKY 100X150CM OCELOVÉ FÓLIE TŘ 1 - MONTÁŽ S PŘEMÍSTĚNÍM</t>
  </si>
  <si>
    <t>-140651510</t>
  </si>
  <si>
    <t>počet 11</t>
  </si>
  <si>
    <t>914423</t>
  </si>
  <si>
    <t>DOPRAVNÍ ZNAČKY 100X150CM OCELOVÉ FÓLIE TŘ 1 - DEMONTÁŽ</t>
  </si>
  <si>
    <t>1802926264</t>
  </si>
  <si>
    <t>6</t>
  </si>
  <si>
    <t>914429</t>
  </si>
  <si>
    <t>DOPRAV ZNAČ 100X150CM OCEL FÓLIE TŘ 1 - NÁJEMNÉ</t>
  </si>
  <si>
    <t>-365261205</t>
  </si>
  <si>
    <t>11*25</t>
  </si>
  <si>
    <t>7</t>
  </si>
  <si>
    <t>916112</t>
  </si>
  <si>
    <t>DOPRAV SVĚTLO VÝSTRAŽ SAMOSTATNÉ - MONTÁŽ S PŘESUNEM</t>
  </si>
  <si>
    <t>-1592772815</t>
  </si>
  <si>
    <t>Poznámka k souboru cen:_x000d_
položka zahrnuje: - přemístění zařízení z dočasné skládky a jeho osazení a montáž na místě určeném projektem - údržbu po celou dobu trvání funkce, náhradu zničených nebo ztracených kusů, nutnou opravu poškozených částí - napájení z baterie včetně záložní baterie</t>
  </si>
  <si>
    <t>počet 3</t>
  </si>
  <si>
    <t>916113</t>
  </si>
  <si>
    <t>DOPRAV SVĚTLO VÝSTRAŽ SAMOSTATNÉ - DEMONTÁŽ</t>
  </si>
  <si>
    <t>1789742438</t>
  </si>
  <si>
    <t>Poznámka k souboru cen:_x000d_
Položka zahrnuje odstranění, demontáž a odklizení zařízení s odvozem na předepsané místo</t>
  </si>
  <si>
    <t>916119</t>
  </si>
  <si>
    <t>DOPRAV SVĚTLO VÝSTRAŽ SAMOSTATNÉ - NÁJEMNÉ</t>
  </si>
  <si>
    <t>496199438</t>
  </si>
  <si>
    <t>Poznámka k souboru cen:_x000d_
položka zahrnuje sazbu za pronájem zařízení. Počet měrných jednotek se určí jako součin počtu zařízení a počtu dní použití.</t>
  </si>
  <si>
    <t>3*25</t>
  </si>
  <si>
    <t>916222</t>
  </si>
  <si>
    <t>DOPRAVNÍ KUŽEL Z1 VÝŠ 50CM S FÓLIÍ TŘ 1 - MONTÁŽ S PŘESUNEM</t>
  </si>
  <si>
    <t>331660619</t>
  </si>
  <si>
    <t>Poznámka k souboru cen:_x000d_
položka zahrnuje: - přemístění zařízení z dočasné skládky a jeho osazení a montáž na místě určeném projektem - údržbu po celou dobu trvání funkce, náhradu zničených nebo ztracených kusů, nutnou opravu poškozených částí</t>
  </si>
  <si>
    <t>počet 20</t>
  </si>
  <si>
    <t>20</t>
  </si>
  <si>
    <t>916223</t>
  </si>
  <si>
    <t>DOPRAVNÍ KUŽEL Z1 VÝŠ 50CM S FÓLIÍ TŘ 1 - DEMONTÁŽ</t>
  </si>
  <si>
    <t>-1244070323</t>
  </si>
  <si>
    <t>916229</t>
  </si>
  <si>
    <t>DOPRAVNÍ KUŽEL Z1 VÝŠKY 50CM - NÁJEMNÉ</t>
  </si>
  <si>
    <t>-541645480</t>
  </si>
  <si>
    <t>dny 10</t>
  </si>
  <si>
    <t>20*10</t>
  </si>
  <si>
    <t>13</t>
  </si>
  <si>
    <t>916312</t>
  </si>
  <si>
    <t>DOPRAVNÍ ZÁBRANY Z2 S FÓLIÍ TŘ 1 - MONTÁŽ S PŘESUNEM</t>
  </si>
  <si>
    <t>840930153</t>
  </si>
  <si>
    <t>916313</t>
  </si>
  <si>
    <t>DOPRAVNÍ ZÁBRANY Z2 S FÓLIÍ TŘ 1 - DEMONTÁŽ</t>
  </si>
  <si>
    <t>-1080833006</t>
  </si>
  <si>
    <t>916319</t>
  </si>
  <si>
    <t>DOPRAVNÍ ZÁBRANY Z2 - NÁJEMNÉ</t>
  </si>
  <si>
    <t>1918067996</t>
  </si>
  <si>
    <t>16</t>
  </si>
  <si>
    <t>916352</t>
  </si>
  <si>
    <t>SMĚROVACÍ DESKY Z4 OBOUSTR S FÓLIÍ TŘ 1 - MONTÁŽ S PŘESUNEM</t>
  </si>
  <si>
    <t>1453074869</t>
  </si>
  <si>
    <t>916353</t>
  </si>
  <si>
    <t>SMĚROVACÍ DESKY Z4 OBOUSTR S FÓLIÍ TŘ 1 - DEMONTÁŽ</t>
  </si>
  <si>
    <t>332437905</t>
  </si>
  <si>
    <t>916359</t>
  </si>
  <si>
    <t>SMĚROVACÍ DESKY Z4 OBOUSTR S FÓLIÍ TŘ 1 - NÁJEMNÉ</t>
  </si>
  <si>
    <t>-265661972</t>
  </si>
  <si>
    <t>19</t>
  </si>
  <si>
    <t>M001</t>
  </si>
  <si>
    <t>zřízení provizorní zastávky pro linkovou dopravu bez zpevnění nástupiště - po celou dobu opravy silnice</t>
  </si>
  <si>
    <t>ks</t>
  </si>
  <si>
    <t>-467260325</t>
  </si>
  <si>
    <t>zřízení provizorní zastávky pro linkovou doprav - po celou dobu opravy</t>
  </si>
  <si>
    <t xml:space="preserve">počet 1 </t>
  </si>
  <si>
    <t xml:space="preserve">SO104 - Doplňující údaje </t>
  </si>
  <si>
    <t>02520</t>
  </si>
  <si>
    <t>ZKOUŠENÍ MATERIÁLŮ NEZÁVISLOU ZKUŠEBNOU</t>
  </si>
  <si>
    <t>KPL</t>
  </si>
  <si>
    <t>-1338611030</t>
  </si>
  <si>
    <t>Poznámka k souboru cen:_x000d_
zahrnuje veškeré náklady spojené s objednatelem požadovanými zkouškami</t>
  </si>
  <si>
    <t>bude čerpáno se souhlasem investora</t>
  </si>
  <si>
    <t>029113</t>
  </si>
  <si>
    <t>OSTATNÍ POŽADAVKY - GEODETICKÉ ZAMĚŘENÍ - CELKY</t>
  </si>
  <si>
    <t>-1657382108</t>
  </si>
  <si>
    <t>Poznámka k souboru cen:_x000d_
zahrnuje veškeré náklady spojené s objednatelem požadovanými pracemi</t>
  </si>
  <si>
    <t>geodetické zaměření vozovkových vrstev - obrusná vrstva</t>
  </si>
</sst>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39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800080"/>
      <name val="Arial CE"/>
    </font>
    <font>
      <sz val="8"/>
      <color rgb="FF505050"/>
      <name val="Arial CE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b/>
      <sz val="10"/>
      <color rgb="FF46464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69696"/>
      <name val="Arial CE"/>
    </font>
    <font>
      <sz val="7"/>
      <name val="Arial CE"/>
    </font>
    <font>
      <i/>
      <sz val="7"/>
      <color rgb="FF969696"/>
      <name val="Arial CE"/>
    </font>
    <font>
      <i/>
      <sz val="9"/>
      <color rgb="FF0000FF"/>
      <name val="Arial CE"/>
    </font>
    <font>
      <i/>
      <sz val="8"/>
      <color rgb="FF0000FF"/>
      <name val="Arial CE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270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/>
    <xf numFmtId="0" fontId="0" fillId="0" borderId="3" xfId="0" applyBorder="1" applyProtection="1"/>
    <xf numFmtId="0" fontId="0" fillId="0" borderId="0" xfId="0" applyProtection="1"/>
    <xf numFmtId="0" fontId="12" fillId="0" borderId="0" xfId="0" applyFont="1" applyAlignment="1" applyProtection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center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 wrapText="1"/>
    </xf>
    <xf numFmtId="0" fontId="15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0" fillId="0" borderId="4" xfId="0" applyBorder="1" applyProtection="1"/>
    <xf numFmtId="0" fontId="0" fillId="0" borderId="0" xfId="0" applyFont="1" applyAlignment="1">
      <alignment vertical="center"/>
    </xf>
    <xf numFmtId="0" fontId="0" fillId="0" borderId="3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6" fillId="0" borderId="5" xfId="0" applyFont="1" applyBorder="1" applyAlignment="1" applyProtection="1">
      <alignment horizontal="left" vertical="center"/>
    </xf>
    <xf numFmtId="0" fontId="0" fillId="0" borderId="5" xfId="0" applyFont="1" applyBorder="1" applyAlignment="1" applyProtection="1">
      <alignment vertical="center"/>
    </xf>
    <xf numFmtId="4" fontId="16" fillId="0" borderId="5" xfId="0" applyNumberFormat="1" applyFont="1" applyBorder="1" applyAlignment="1" applyProtection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right" vertical="center"/>
    </xf>
    <xf numFmtId="0" fontId="1" fillId="0" borderId="3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4" fontId="17" fillId="0" borderId="0" xfId="0" applyNumberFormat="1" applyFont="1" applyAlignment="1" applyProtection="1">
      <alignment vertical="center"/>
    </xf>
    <xf numFmtId="0" fontId="1" fillId="0" borderId="3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0" fillId="3" borderId="0" xfId="0" applyFont="1" applyFill="1" applyAlignment="1" applyProtection="1">
      <alignment vertical="center"/>
    </xf>
    <xf numFmtId="0" fontId="4" fillId="3" borderId="6" xfId="0" applyFont="1" applyFill="1" applyBorder="1" applyAlignment="1" applyProtection="1">
      <alignment horizontal="left" vertical="center"/>
    </xf>
    <xf numFmtId="0" fontId="0" fillId="3" borderId="7" xfId="0" applyFont="1" applyFill="1" applyBorder="1" applyAlignment="1" applyProtection="1">
      <alignment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left" vertical="center"/>
    </xf>
    <xf numFmtId="4" fontId="4" fillId="3" borderId="7" xfId="0" applyNumberFormat="1" applyFont="1" applyFill="1" applyBorder="1" applyAlignment="1" applyProtection="1">
      <alignment vertical="center"/>
    </xf>
    <xf numFmtId="0" fontId="0" fillId="3" borderId="8" xfId="0" applyFont="1" applyFill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8" fillId="0" borderId="4" xfId="0" applyFont="1" applyBorder="1" applyAlignment="1" applyProtection="1">
      <alignment horizontal="left" vertical="center"/>
    </xf>
    <xf numFmtId="0" fontId="0" fillId="0" borderId="4" xfId="0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 applyProtection="1">
      <alignment horizontal="left" vertical="center"/>
    </xf>
    <xf numFmtId="0" fontId="0" fillId="0" borderId="4" xfId="0" applyFont="1" applyBorder="1" applyAlignment="1" applyProtection="1">
      <alignment vertical="center"/>
    </xf>
    <xf numFmtId="0" fontId="0" fillId="0" borderId="9" xfId="0" applyFont="1" applyBorder="1" applyAlignment="1" applyProtection="1">
      <alignment vertical="center"/>
    </xf>
    <xf numFmtId="0" fontId="0" fillId="0" borderId="10" xfId="0" applyFont="1" applyBorder="1" applyAlignment="1" applyProtection="1">
      <alignment vertical="center"/>
    </xf>
    <xf numFmtId="0" fontId="0" fillId="0" borderId="1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 wrapText="1"/>
    </xf>
    <xf numFmtId="0" fontId="3" fillId="0" borderId="3" xfId="0" applyFont="1" applyBorder="1" applyAlignment="1">
      <alignment vertical="center"/>
    </xf>
    <xf numFmtId="0" fontId="16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0" fillId="0" borderId="14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20" fillId="0" borderId="14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vertical="center"/>
    </xf>
    <xf numFmtId="0" fontId="0" fillId="0" borderId="15" xfId="0" applyFont="1" applyBorder="1" applyAlignment="1" applyProtection="1">
      <alignment vertical="center"/>
    </xf>
    <xf numFmtId="0" fontId="21" fillId="4" borderId="6" xfId="0" applyFont="1" applyFill="1" applyBorder="1" applyAlignment="1" applyProtection="1">
      <alignment horizontal="center" vertical="center"/>
    </xf>
    <xf numFmtId="0" fontId="21" fillId="4" borderId="7" xfId="0" applyFont="1" applyFill="1" applyBorder="1" applyAlignment="1" applyProtection="1">
      <alignment horizontal="left" vertical="center"/>
    </xf>
    <xf numFmtId="0" fontId="0" fillId="4" borderId="7" xfId="0" applyFont="1" applyFill="1" applyBorder="1" applyAlignment="1" applyProtection="1">
      <alignment vertical="center"/>
    </xf>
    <xf numFmtId="0" fontId="21" fillId="4" borderId="7" xfId="0" applyFont="1" applyFill="1" applyBorder="1" applyAlignment="1" applyProtection="1">
      <alignment horizontal="center" vertical="center"/>
    </xf>
    <xf numFmtId="0" fontId="21" fillId="4" borderId="7" xfId="0" applyFont="1" applyFill="1" applyBorder="1" applyAlignment="1" applyProtection="1">
      <alignment horizontal="right" vertical="center"/>
    </xf>
    <xf numFmtId="0" fontId="21" fillId="4" borderId="8" xfId="0" applyFont="1" applyFill="1" applyBorder="1" applyAlignment="1" applyProtection="1">
      <alignment horizontal="left" vertical="center"/>
    </xf>
    <xf numFmtId="0" fontId="21" fillId="4" borderId="0" xfId="0" applyFont="1" applyFill="1" applyAlignment="1" applyProtection="1">
      <alignment horizontal="center" vertical="center"/>
    </xf>
    <xf numFmtId="0" fontId="22" fillId="0" borderId="16" xfId="0" applyFont="1" applyBorder="1" applyAlignment="1" applyProtection="1">
      <alignment horizontal="center" vertical="center" wrapText="1"/>
    </xf>
    <xf numFmtId="0" fontId="22" fillId="0" borderId="17" xfId="0" applyFont="1" applyBorder="1" applyAlignment="1" applyProtection="1">
      <alignment horizontal="center" vertical="center" wrapText="1"/>
    </xf>
    <xf numFmtId="0" fontId="22" fillId="0" borderId="18" xfId="0" applyFont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vertical="center"/>
    </xf>
    <xf numFmtId="0" fontId="0" fillId="0" borderId="12" xfId="0" applyFont="1" applyBorder="1" applyAlignment="1" applyProtection="1">
      <alignment vertical="center"/>
    </xf>
    <xf numFmtId="0" fontId="0" fillId="0" borderId="13" xfId="0" applyFont="1" applyBorder="1" applyAlignment="1" applyProtection="1">
      <alignment vertical="center"/>
    </xf>
    <xf numFmtId="0" fontId="4" fillId="0" borderId="3" xfId="0" applyFont="1" applyBorder="1" applyAlignment="1" applyProtection="1">
      <alignment vertical="center"/>
    </xf>
    <xf numFmtId="0" fontId="23" fillId="0" borderId="0" xfId="0" applyFont="1" applyAlignment="1" applyProtection="1">
      <alignment horizontal="left" vertical="center"/>
    </xf>
    <xf numFmtId="0" fontId="23" fillId="0" borderId="0" xfId="0" applyFont="1" applyAlignment="1" applyProtection="1">
      <alignment vertical="center"/>
    </xf>
    <xf numFmtId="4" fontId="23" fillId="0" borderId="0" xfId="0" applyNumberFormat="1" applyFont="1" applyAlignment="1" applyProtection="1">
      <alignment horizontal="right" vertical="center"/>
    </xf>
    <xf numFmtId="4" fontId="23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3" xfId="0" applyFont="1" applyBorder="1" applyAlignment="1">
      <alignment vertical="center"/>
    </xf>
    <xf numFmtId="4" fontId="19" fillId="0" borderId="14" xfId="0" applyNumberFormat="1" applyFont="1" applyBorder="1" applyAlignment="1" applyProtection="1">
      <alignment vertical="center"/>
    </xf>
    <xf numFmtId="4" fontId="19" fillId="0" borderId="0" xfId="0" applyNumberFormat="1" applyFont="1" applyBorder="1" applyAlignment="1" applyProtection="1">
      <alignment vertical="center"/>
    </xf>
    <xf numFmtId="166" fontId="19" fillId="0" borderId="0" xfId="0" applyNumberFormat="1" applyFont="1" applyBorder="1" applyAlignment="1" applyProtection="1">
      <alignment vertical="center"/>
    </xf>
    <xf numFmtId="4" fontId="19" fillId="0" borderId="15" xfId="0" applyNumberFormat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3" xfId="0" applyFont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Alignment="1" applyProtection="1">
      <alignment horizontal="left" vertical="center" wrapText="1"/>
    </xf>
    <xf numFmtId="0" fontId="27" fillId="0" borderId="0" xfId="0" applyFont="1" applyAlignment="1" applyProtection="1">
      <alignment vertical="center"/>
    </xf>
    <xf numFmtId="4" fontId="27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5" fillId="0" borderId="3" xfId="0" applyFont="1" applyBorder="1" applyAlignment="1">
      <alignment vertical="center"/>
    </xf>
    <xf numFmtId="4" fontId="28" fillId="0" borderId="14" xfId="0" applyNumberFormat="1" applyFont="1" applyBorder="1" applyAlignment="1" applyProtection="1">
      <alignment vertical="center"/>
    </xf>
    <xf numFmtId="4" fontId="28" fillId="0" borderId="0" xfId="0" applyNumberFormat="1" applyFont="1" applyBorder="1" applyAlignment="1" applyProtection="1">
      <alignment vertical="center"/>
    </xf>
    <xf numFmtId="166" fontId="28" fillId="0" borderId="0" xfId="0" applyNumberFormat="1" applyFont="1" applyBorder="1" applyAlignment="1" applyProtection="1">
      <alignment vertical="center"/>
    </xf>
    <xf numFmtId="4" fontId="28" fillId="0" borderId="15" xfId="0" applyNumberFormat="1" applyFont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4" fontId="28" fillId="0" borderId="19" xfId="0" applyNumberFormat="1" applyFont="1" applyBorder="1" applyAlignment="1" applyProtection="1">
      <alignment vertical="center"/>
    </xf>
    <xf numFmtId="4" fontId="28" fillId="0" borderId="20" xfId="0" applyNumberFormat="1" applyFont="1" applyBorder="1" applyAlignment="1" applyProtection="1">
      <alignment vertical="center"/>
    </xf>
    <xf numFmtId="166" fontId="28" fillId="0" borderId="20" xfId="0" applyNumberFormat="1" applyFont="1" applyBorder="1" applyAlignment="1" applyProtection="1">
      <alignment vertical="center"/>
    </xf>
    <xf numFmtId="4" fontId="28" fillId="0" borderId="21" xfId="0" applyNumberFormat="1" applyFont="1" applyBorder="1" applyAlignment="1" applyProtection="1">
      <alignment vertical="center"/>
    </xf>
    <xf numFmtId="0" fontId="0" fillId="0" borderId="1" xfId="0" applyBorder="1"/>
    <xf numFmtId="0" fontId="0" fillId="0" borderId="2" xfId="0" applyBorder="1"/>
    <xf numFmtId="0" fontId="12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2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4" fontId="23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0" fillId="4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vertical="center"/>
    </xf>
    <xf numFmtId="0" fontId="0" fillId="4" borderId="8" xfId="0" applyFont="1" applyFill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" fillId="0" borderId="0" xfId="0" applyFont="1" applyAlignment="1" applyProtection="1">
      <alignment horizontal="left" vertical="center" wrapText="1"/>
    </xf>
    <xf numFmtId="0" fontId="21" fillId="4" borderId="0" xfId="0" applyFont="1" applyFill="1" applyAlignment="1" applyProtection="1">
      <alignment horizontal="left" vertical="center"/>
    </xf>
    <xf numFmtId="0" fontId="0" fillId="4" borderId="0" xfId="0" applyFont="1" applyFill="1" applyAlignment="1" applyProtection="1">
      <alignment vertical="center"/>
    </xf>
    <xf numFmtId="0" fontId="21" fillId="4" borderId="0" xfId="0" applyFont="1" applyFill="1" applyAlignment="1" applyProtection="1">
      <alignment horizontal="right" vertical="center"/>
    </xf>
    <xf numFmtId="0" fontId="30" fillId="0" borderId="0" xfId="0" applyFont="1" applyAlignment="1" applyProtection="1">
      <alignment horizontal="left" vertical="center"/>
    </xf>
    <xf numFmtId="0" fontId="6" fillId="0" borderId="3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20" xfId="0" applyFont="1" applyBorder="1" applyAlignment="1" applyProtection="1">
      <alignment horizontal="left" vertical="center"/>
    </xf>
    <xf numFmtId="0" fontId="6" fillId="0" borderId="20" xfId="0" applyFont="1" applyBorder="1" applyAlignment="1" applyProtection="1">
      <alignment vertical="center"/>
    </xf>
    <xf numFmtId="4" fontId="6" fillId="0" borderId="20" xfId="0" applyNumberFormat="1" applyFont="1" applyBorder="1" applyAlignment="1" applyProtection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20" xfId="0" applyFont="1" applyBorder="1" applyAlignment="1" applyProtection="1">
      <alignment horizontal="left" vertical="center"/>
    </xf>
    <xf numFmtId="0" fontId="7" fillId="0" borderId="20" xfId="0" applyFont="1" applyBorder="1" applyAlignment="1" applyProtection="1">
      <alignment vertical="center"/>
    </xf>
    <xf numFmtId="4" fontId="7" fillId="0" borderId="20" xfId="0" applyNumberFormat="1" applyFont="1" applyBorder="1" applyAlignment="1" applyProtection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21" fillId="4" borderId="16" xfId="0" applyFont="1" applyFill="1" applyBorder="1" applyAlignment="1" applyProtection="1">
      <alignment horizontal="center" vertical="center" wrapText="1"/>
    </xf>
    <xf numFmtId="0" fontId="21" fillId="4" borderId="17" xfId="0" applyFont="1" applyFill="1" applyBorder="1" applyAlignment="1" applyProtection="1">
      <alignment horizontal="center" vertical="center" wrapText="1"/>
    </xf>
    <xf numFmtId="0" fontId="21" fillId="4" borderId="18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23" fillId="0" borderId="0" xfId="0" applyNumberFormat="1" applyFont="1" applyAlignment="1" applyProtection="1"/>
    <xf numFmtId="0" fontId="0" fillId="0" borderId="12" xfId="0" applyBorder="1" applyAlignment="1" applyProtection="1">
      <alignment vertical="center"/>
    </xf>
    <xf numFmtId="166" fontId="31" fillId="0" borderId="12" xfId="0" applyNumberFormat="1" applyFont="1" applyBorder="1" applyAlignment="1" applyProtection="1"/>
    <xf numFmtId="166" fontId="31" fillId="0" borderId="13" xfId="0" applyNumberFormat="1" applyFont="1" applyBorder="1" applyAlignment="1" applyProtection="1"/>
    <xf numFmtId="4" fontId="32" fillId="0" borderId="0" xfId="0" applyNumberFormat="1" applyFont="1" applyAlignment="1">
      <alignment vertical="center"/>
    </xf>
    <xf numFmtId="0" fontId="8" fillId="0" borderId="3" xfId="0" applyFont="1" applyBorder="1" applyAlignment="1" applyProtection="1"/>
    <xf numFmtId="0" fontId="8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8" fillId="0" borderId="0" xfId="0" applyFont="1" applyAlignment="1" applyProtection="1">
      <protection locked="0"/>
    </xf>
    <xf numFmtId="4" fontId="6" fillId="0" borderId="0" xfId="0" applyNumberFormat="1" applyFont="1" applyAlignment="1" applyProtection="1"/>
    <xf numFmtId="0" fontId="8" fillId="0" borderId="3" xfId="0" applyFont="1" applyBorder="1" applyAlignment="1"/>
    <xf numFmtId="0" fontId="8" fillId="0" borderId="14" xfId="0" applyFont="1" applyBorder="1" applyAlignment="1" applyProtection="1"/>
    <xf numFmtId="0" fontId="8" fillId="0" borderId="0" xfId="0" applyFont="1" applyBorder="1" applyAlignment="1" applyProtection="1"/>
    <xf numFmtId="166" fontId="8" fillId="0" borderId="0" xfId="0" applyNumberFormat="1" applyFont="1" applyBorder="1" applyAlignment="1" applyProtection="1"/>
    <xf numFmtId="166" fontId="8" fillId="0" borderId="15" xfId="0" applyNumberFormat="1" applyFont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 applyProtection="1">
      <alignment horizontal="left"/>
    </xf>
    <xf numFmtId="4" fontId="7" fillId="0" borderId="0" xfId="0" applyNumberFormat="1" applyFont="1" applyAlignment="1" applyProtection="1"/>
    <xf numFmtId="0" fontId="21" fillId="0" borderId="22" xfId="0" applyFont="1" applyBorder="1" applyAlignment="1" applyProtection="1">
      <alignment horizontal="center" vertical="center"/>
    </xf>
    <xf numFmtId="49" fontId="21" fillId="0" borderId="22" xfId="0" applyNumberFormat="1" applyFont="1" applyBorder="1" applyAlignment="1" applyProtection="1">
      <alignment horizontal="left" vertical="center" wrapText="1"/>
    </xf>
    <xf numFmtId="0" fontId="21" fillId="0" borderId="22" xfId="0" applyFont="1" applyBorder="1" applyAlignment="1" applyProtection="1">
      <alignment horizontal="left" vertical="center" wrapText="1"/>
    </xf>
    <xf numFmtId="0" fontId="21" fillId="0" borderId="22" xfId="0" applyFont="1" applyBorder="1" applyAlignment="1" applyProtection="1">
      <alignment horizontal="center" vertical="center" wrapText="1"/>
    </xf>
    <xf numFmtId="167" fontId="21" fillId="0" borderId="22" xfId="0" applyNumberFormat="1" applyFont="1" applyBorder="1" applyAlignment="1" applyProtection="1">
      <alignment vertical="center"/>
    </xf>
    <xf numFmtId="4" fontId="21" fillId="2" borderId="22" xfId="0" applyNumberFormat="1" applyFont="1" applyFill="1" applyBorder="1" applyAlignment="1" applyProtection="1">
      <alignment vertical="center"/>
      <protection locked="0"/>
    </xf>
    <xf numFmtId="4" fontId="21" fillId="0" borderId="22" xfId="0" applyNumberFormat="1" applyFont="1" applyBorder="1" applyAlignment="1" applyProtection="1">
      <alignment vertical="center"/>
    </xf>
    <xf numFmtId="0" fontId="22" fillId="2" borderId="14" xfId="0" applyFont="1" applyFill="1" applyBorder="1" applyAlignment="1" applyProtection="1">
      <alignment horizontal="left" vertical="center"/>
      <protection locked="0"/>
    </xf>
    <xf numFmtId="0" fontId="22" fillId="0" borderId="0" xfId="0" applyFont="1" applyBorder="1" applyAlignment="1" applyProtection="1">
      <alignment horizontal="center" vertical="center"/>
    </xf>
    <xf numFmtId="166" fontId="22" fillId="0" borderId="0" xfId="0" applyNumberFormat="1" applyFont="1" applyBorder="1" applyAlignment="1" applyProtection="1">
      <alignment vertical="center"/>
    </xf>
    <xf numFmtId="166" fontId="22" fillId="0" borderId="15" xfId="0" applyNumberFormat="1" applyFont="1" applyBorder="1" applyAlignment="1" applyProtection="1">
      <alignment vertical="center"/>
    </xf>
    <xf numFmtId="0" fontId="21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0" fontId="33" fillId="0" borderId="0" xfId="0" applyFont="1" applyAlignment="1" applyProtection="1">
      <alignment horizontal="left" vertical="center"/>
    </xf>
    <xf numFmtId="0" fontId="34" fillId="0" borderId="0" xfId="0" applyFont="1" applyAlignment="1" applyProtection="1">
      <alignment horizontal="left" vertical="center" wrapText="1"/>
    </xf>
    <xf numFmtId="0" fontId="0" fillId="0" borderId="0" xfId="0" applyFont="1" applyAlignment="1" applyProtection="1">
      <alignment vertical="center"/>
      <protection locked="0"/>
    </xf>
    <xf numFmtId="0" fontId="0" fillId="0" borderId="14" xfId="0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35" fillId="0" borderId="0" xfId="0" applyFont="1" applyAlignment="1" applyProtection="1">
      <alignment vertical="center" wrapText="1"/>
    </xf>
    <xf numFmtId="0" fontId="9" fillId="0" borderId="3" xfId="0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9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 wrapText="1"/>
    </xf>
    <xf numFmtId="0" fontId="9" fillId="0" borderId="0" xfId="0" applyFont="1" applyAlignment="1" applyProtection="1">
      <alignment vertical="center"/>
      <protection locked="0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9" fillId="0" borderId="15" xfId="0" applyFont="1" applyBorder="1" applyAlignment="1" applyProtection="1">
      <alignment vertical="center"/>
    </xf>
    <xf numFmtId="0" fontId="9" fillId="0" borderId="0" xfId="0" applyFont="1" applyAlignment="1">
      <alignment horizontal="left" vertical="center"/>
    </xf>
    <xf numFmtId="0" fontId="10" fillId="0" borderId="3" xfId="0" applyFont="1" applyBorder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 wrapText="1"/>
    </xf>
    <xf numFmtId="167" fontId="10" fillId="0" borderId="0" xfId="0" applyNumberFormat="1" applyFont="1" applyAlignment="1" applyProtection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3" xfId="0" applyFont="1" applyBorder="1" applyAlignment="1">
      <alignment vertical="center"/>
    </xf>
    <xf numFmtId="0" fontId="10" fillId="0" borderId="14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10" fillId="0" borderId="15" xfId="0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0" fontId="10" fillId="0" borderId="19" xfId="0" applyFont="1" applyBorder="1" applyAlignment="1" applyProtection="1">
      <alignment vertical="center"/>
    </xf>
    <xf numFmtId="0" fontId="10" fillId="0" borderId="20" xfId="0" applyFont="1" applyBorder="1" applyAlignment="1" applyProtection="1">
      <alignment vertical="center"/>
    </xf>
    <xf numFmtId="0" fontId="10" fillId="0" borderId="21" xfId="0" applyFont="1" applyBorder="1" applyAlignment="1" applyProtection="1">
      <alignment vertical="center"/>
    </xf>
    <xf numFmtId="0" fontId="36" fillId="0" borderId="22" xfId="0" applyFont="1" applyBorder="1" applyAlignment="1" applyProtection="1">
      <alignment horizontal="center" vertical="center"/>
    </xf>
    <xf numFmtId="49" fontId="36" fillId="0" borderId="22" xfId="0" applyNumberFormat="1" applyFont="1" applyBorder="1" applyAlignment="1" applyProtection="1">
      <alignment horizontal="left" vertical="center" wrapText="1"/>
    </xf>
    <xf numFmtId="0" fontId="36" fillId="0" borderId="22" xfId="0" applyFont="1" applyBorder="1" applyAlignment="1" applyProtection="1">
      <alignment horizontal="left" vertical="center" wrapText="1"/>
    </xf>
    <xf numFmtId="0" fontId="36" fillId="0" borderId="22" xfId="0" applyFont="1" applyBorder="1" applyAlignment="1" applyProtection="1">
      <alignment horizontal="center" vertical="center" wrapText="1"/>
    </xf>
    <xf numFmtId="167" fontId="36" fillId="0" borderId="22" xfId="0" applyNumberFormat="1" applyFont="1" applyBorder="1" applyAlignment="1" applyProtection="1">
      <alignment vertical="center"/>
    </xf>
    <xf numFmtId="4" fontId="36" fillId="2" borderId="22" xfId="0" applyNumberFormat="1" applyFont="1" applyFill="1" applyBorder="1" applyAlignment="1" applyProtection="1">
      <alignment vertical="center"/>
      <protection locked="0"/>
    </xf>
    <xf numFmtId="4" fontId="36" fillId="0" borderId="22" xfId="0" applyNumberFormat="1" applyFont="1" applyBorder="1" applyAlignment="1" applyProtection="1">
      <alignment vertical="center"/>
    </xf>
    <xf numFmtId="0" fontId="37" fillId="0" borderId="3" xfId="0" applyFont="1" applyBorder="1" applyAlignment="1">
      <alignment vertical="center"/>
    </xf>
    <xf numFmtId="0" fontId="36" fillId="2" borderId="14" xfId="0" applyFont="1" applyFill="1" applyBorder="1" applyAlignment="1" applyProtection="1">
      <alignment horizontal="left" vertical="center"/>
      <protection locked="0"/>
    </xf>
    <xf numFmtId="0" fontId="36" fillId="0" borderId="0" xfId="0" applyFont="1" applyBorder="1" applyAlignment="1" applyProtection="1">
      <alignment horizontal="center" vertical="center"/>
    </xf>
  </cellXfs>
  <cellStyles count="2">
    <cellStyle name="Normal" xfId="0" builtinId="0" customBuiltin="1"/>
    <cellStyle name="Hyperlink" xfId="1" builtin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calcChain" Target="calcChain.xml" /><Relationship Id="rId9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cols>
    <col min="1" max="1" width="8.332031" style="1" customWidth="1"/>
    <col min="2" max="2" width="1.667969" style="1" customWidth="1"/>
    <col min="3" max="3" width="4.160156" style="1" customWidth="1"/>
    <col min="4" max="4" width="2.660156" style="1" customWidth="1"/>
    <col min="5" max="5" width="2.660156" style="1" customWidth="1"/>
    <col min="6" max="6" width="2.660156" style="1" customWidth="1"/>
    <col min="7" max="7" width="2.660156" style="1" customWidth="1"/>
    <col min="8" max="8" width="2.660156" style="1" customWidth="1"/>
    <col min="9" max="9" width="2.660156" style="1" customWidth="1"/>
    <col min="10" max="10" width="2.660156" style="1" customWidth="1"/>
    <col min="11" max="11" width="2.660156" style="1" customWidth="1"/>
    <col min="12" max="12" width="2.660156" style="1" customWidth="1"/>
    <col min="13" max="13" width="2.660156" style="1" customWidth="1"/>
    <col min="14" max="14" width="2.660156" style="1" customWidth="1"/>
    <col min="15" max="15" width="2.660156" style="1" customWidth="1"/>
    <col min="16" max="16" width="2.660156" style="1" customWidth="1"/>
    <col min="17" max="17" width="2.660156" style="1" customWidth="1"/>
    <col min="18" max="18" width="2.660156" style="1" customWidth="1"/>
    <col min="19" max="19" width="2.660156" style="1" customWidth="1"/>
    <col min="20" max="20" width="2.660156" style="1" customWidth="1"/>
    <col min="21" max="21" width="2.660156" style="1" customWidth="1"/>
    <col min="22" max="22" width="2.660156" style="1" customWidth="1"/>
    <col min="23" max="23" width="2.660156" style="1" customWidth="1"/>
    <col min="24" max="24" width="2.660156" style="1" customWidth="1"/>
    <col min="25" max="25" width="2.660156" style="1" customWidth="1"/>
    <col min="26" max="26" width="2.660156" style="1" customWidth="1"/>
    <col min="27" max="27" width="2.660156" style="1" customWidth="1"/>
    <col min="28" max="28" width="2.660156" style="1" customWidth="1"/>
    <col min="29" max="29" width="2.660156" style="1" customWidth="1"/>
    <col min="30" max="30" width="2.660156" style="1" customWidth="1"/>
    <col min="31" max="31" width="2.660156" style="1" customWidth="1"/>
    <col min="32" max="32" width="2.660156" style="1" customWidth="1"/>
    <col min="33" max="33" width="2.660156" style="1" customWidth="1"/>
    <col min="34" max="34" width="3.332031" style="1" customWidth="1"/>
    <col min="35" max="35" width="31.66016" style="1" customWidth="1"/>
    <col min="36" max="36" width="2.5" style="1" customWidth="1"/>
    <col min="37" max="37" width="2.5" style="1" customWidth="1"/>
    <col min="38" max="38" width="8.332031" style="1" customWidth="1"/>
    <col min="39" max="39" width="3.332031" style="1" customWidth="1"/>
    <col min="40" max="40" width="13.33203" style="1" customWidth="1"/>
    <col min="41" max="41" width="7.5" style="1" customWidth="1"/>
    <col min="42" max="42" width="4.160156" style="1" customWidth="1"/>
    <col min="43" max="43" width="15.66016" style="1" hidden="1" customWidth="1"/>
    <col min="44" max="44" width="13.66016" style="1" customWidth="1"/>
    <col min="45" max="45" width="25.83203" style="1" hidden="1" customWidth="1"/>
    <col min="46" max="46" width="25.83203" style="1" hidden="1" customWidth="1"/>
    <col min="47" max="47" width="25.83203" style="1" hidden="1" customWidth="1"/>
    <col min="48" max="48" width="21.66016" style="1" hidden="1" customWidth="1"/>
    <col min="49" max="49" width="21.66016" style="1" hidden="1" customWidth="1"/>
    <col min="50" max="50" width="25" style="1" hidden="1" customWidth="1"/>
    <col min="51" max="51" width="25" style="1" hidden="1" customWidth="1"/>
    <col min="52" max="52" width="21.66016" style="1" hidden="1" customWidth="1"/>
    <col min="53" max="53" width="19.16016" style="1" hidden="1" customWidth="1"/>
    <col min="54" max="54" width="25" style="1" hidden="1" customWidth="1"/>
    <col min="55" max="55" width="21.66016" style="1" hidden="1" customWidth="1"/>
    <col min="56" max="56" width="19.16016" style="1" hidden="1" customWidth="1"/>
    <col min="57" max="57" width="66.5" style="1" customWidth="1"/>
    <col min="71" max="71" width="9.332031" style="1" hidden="1"/>
    <col min="72" max="72" width="9.332031" style="1" hidden="1"/>
    <col min="73" max="73" width="9.332031" style="1" hidden="1"/>
    <col min="74" max="74" width="9.332031" style="1" hidden="1"/>
    <col min="75" max="75" width="9.332031" style="1" hidden="1"/>
    <col min="76" max="76" width="9.332031" style="1" hidden="1"/>
    <col min="77" max="77" width="9.332031" style="1" hidden="1"/>
    <col min="78" max="78" width="9.332031" style="1" hidden="1"/>
    <col min="79" max="79" width="9.332031" style="1" hidden="1"/>
    <col min="80" max="80" width="9.332031" style="1" hidden="1"/>
    <col min="81" max="81" width="9.332031" style="1" hidden="1"/>
    <col min="82" max="82" width="9.332031" style="1" hidden="1"/>
    <col min="83" max="83" width="9.332031" style="1" hidden="1"/>
    <col min="84" max="84" width="9.332031" style="1" hidden="1"/>
    <col min="85" max="85" width="9.332031" style="1" hidden="1"/>
    <col min="86" max="86" width="9.332031" style="1" hidden="1"/>
    <col min="87" max="87" width="9.332031" style="1" hidden="1"/>
    <col min="88" max="88" width="9.332031" style="1" hidden="1"/>
    <col min="89" max="89" width="9.332031" style="1" hidden="1"/>
    <col min="90" max="90" width="9.332031" style="1" hidden="1"/>
    <col min="91" max="91" width="9.332031" style="1" hidden="1"/>
  </cols>
  <sheetData>
    <row r="1">
      <c r="A1" s="15" t="s">
        <v>0</v>
      </c>
      <c r="AZ1" s="15" t="s">
        <v>1</v>
      </c>
      <c r="BA1" s="15" t="s">
        <v>2</v>
      </c>
      <c r="BB1" s="15" t="s">
        <v>3</v>
      </c>
      <c r="BT1" s="15" t="s">
        <v>4</v>
      </c>
      <c r="BU1" s="15" t="s">
        <v>4</v>
      </c>
      <c r="BV1" s="15" t="s">
        <v>5</v>
      </c>
    </row>
    <row r="2" s="1" customFormat="1" ht="36.96" customHeight="1"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S2" s="16" t="s">
        <v>6</v>
      </c>
      <c r="BT2" s="16" t="s">
        <v>7</v>
      </c>
    </row>
    <row r="3" s="1" customFormat="1" ht="6.96" customHeight="1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9"/>
      <c r="BS3" s="16" t="s">
        <v>6</v>
      </c>
      <c r="BT3" s="16" t="s">
        <v>8</v>
      </c>
    </row>
    <row r="4" s="1" customFormat="1" ht="24.96" customHeight="1">
      <c r="B4" s="20"/>
      <c r="C4" s="21"/>
      <c r="D4" s="22" t="s">
        <v>9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19"/>
      <c r="AS4" s="23" t="s">
        <v>10</v>
      </c>
      <c r="BE4" s="24" t="s">
        <v>11</v>
      </c>
      <c r="BS4" s="16" t="s">
        <v>12</v>
      </c>
    </row>
    <row r="5" s="1" customFormat="1" ht="12" customHeight="1">
      <c r="B5" s="20"/>
      <c r="C5" s="21"/>
      <c r="D5" s="25" t="s">
        <v>13</v>
      </c>
      <c r="E5" s="21"/>
      <c r="F5" s="21"/>
      <c r="G5" s="21"/>
      <c r="H5" s="21"/>
      <c r="I5" s="21"/>
      <c r="J5" s="21"/>
      <c r="K5" s="26" t="s">
        <v>14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19"/>
      <c r="BE5" s="27" t="s">
        <v>15</v>
      </c>
      <c r="BS5" s="16" t="s">
        <v>6</v>
      </c>
    </row>
    <row r="6" s="1" customFormat="1" ht="36.96" customHeight="1">
      <c r="B6" s="20"/>
      <c r="C6" s="21"/>
      <c r="D6" s="28" t="s">
        <v>16</v>
      </c>
      <c r="E6" s="21"/>
      <c r="F6" s="21"/>
      <c r="G6" s="21"/>
      <c r="H6" s="21"/>
      <c r="I6" s="21"/>
      <c r="J6" s="21"/>
      <c r="K6" s="29" t="s">
        <v>17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19"/>
      <c r="BE6" s="30"/>
      <c r="BS6" s="16" t="s">
        <v>6</v>
      </c>
    </row>
    <row r="7" s="1" customFormat="1" ht="12" customHeight="1">
      <c r="B7" s="20"/>
      <c r="C7" s="21"/>
      <c r="D7" s="31" t="s">
        <v>18</v>
      </c>
      <c r="E7" s="21"/>
      <c r="F7" s="21"/>
      <c r="G7" s="21"/>
      <c r="H7" s="21"/>
      <c r="I7" s="21"/>
      <c r="J7" s="21"/>
      <c r="K7" s="26" t="s">
        <v>1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31" t="s">
        <v>19</v>
      </c>
      <c r="AL7" s="21"/>
      <c r="AM7" s="21"/>
      <c r="AN7" s="26" t="s">
        <v>1</v>
      </c>
      <c r="AO7" s="21"/>
      <c r="AP7" s="21"/>
      <c r="AQ7" s="21"/>
      <c r="AR7" s="19"/>
      <c r="BE7" s="30"/>
      <c r="BS7" s="16" t="s">
        <v>6</v>
      </c>
    </row>
    <row r="8" s="1" customFormat="1" ht="12" customHeight="1">
      <c r="B8" s="20"/>
      <c r="C8" s="21"/>
      <c r="D8" s="31" t="s">
        <v>20</v>
      </c>
      <c r="E8" s="21"/>
      <c r="F8" s="21"/>
      <c r="G8" s="21"/>
      <c r="H8" s="21"/>
      <c r="I8" s="21"/>
      <c r="J8" s="21"/>
      <c r="K8" s="26" t="s">
        <v>21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31" t="s">
        <v>22</v>
      </c>
      <c r="AL8" s="21"/>
      <c r="AM8" s="21"/>
      <c r="AN8" s="32" t="s">
        <v>23</v>
      </c>
      <c r="AO8" s="21"/>
      <c r="AP8" s="21"/>
      <c r="AQ8" s="21"/>
      <c r="AR8" s="19"/>
      <c r="BE8" s="30"/>
      <c r="BS8" s="16" t="s">
        <v>6</v>
      </c>
    </row>
    <row r="9" s="1" customFormat="1" ht="14.4" customHeight="1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19"/>
      <c r="BE9" s="30"/>
      <c r="BS9" s="16" t="s">
        <v>6</v>
      </c>
    </row>
    <row r="10" s="1" customFormat="1" ht="12" customHeight="1">
      <c r="B10" s="20"/>
      <c r="C10" s="21"/>
      <c r="D10" s="31" t="s">
        <v>24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31" t="s">
        <v>25</v>
      </c>
      <c r="AL10" s="21"/>
      <c r="AM10" s="21"/>
      <c r="AN10" s="26" t="s">
        <v>26</v>
      </c>
      <c r="AO10" s="21"/>
      <c r="AP10" s="21"/>
      <c r="AQ10" s="21"/>
      <c r="AR10" s="19"/>
      <c r="BE10" s="30"/>
      <c r="BS10" s="16" t="s">
        <v>6</v>
      </c>
    </row>
    <row r="11" s="1" customFormat="1" ht="18.48" customHeight="1">
      <c r="B11" s="20"/>
      <c r="C11" s="21"/>
      <c r="D11" s="21"/>
      <c r="E11" s="26" t="s">
        <v>27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31" t="s">
        <v>28</v>
      </c>
      <c r="AL11" s="21"/>
      <c r="AM11" s="21"/>
      <c r="AN11" s="26" t="s">
        <v>29</v>
      </c>
      <c r="AO11" s="21"/>
      <c r="AP11" s="21"/>
      <c r="AQ11" s="21"/>
      <c r="AR11" s="19"/>
      <c r="BE11" s="30"/>
      <c r="BS11" s="16" t="s">
        <v>6</v>
      </c>
    </row>
    <row r="12" s="1" customFormat="1" ht="6.96" customHeight="1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19"/>
      <c r="BE12" s="30"/>
      <c r="BS12" s="16" t="s">
        <v>6</v>
      </c>
    </row>
    <row r="13" s="1" customFormat="1" ht="12" customHeight="1">
      <c r="B13" s="20"/>
      <c r="C13" s="21"/>
      <c r="D13" s="31" t="s">
        <v>30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31" t="s">
        <v>25</v>
      </c>
      <c r="AL13" s="21"/>
      <c r="AM13" s="21"/>
      <c r="AN13" s="33" t="s">
        <v>31</v>
      </c>
      <c r="AO13" s="21"/>
      <c r="AP13" s="21"/>
      <c r="AQ13" s="21"/>
      <c r="AR13" s="19"/>
      <c r="BE13" s="30"/>
      <c r="BS13" s="16" t="s">
        <v>6</v>
      </c>
    </row>
    <row r="14">
      <c r="B14" s="20"/>
      <c r="C14" s="21"/>
      <c r="D14" s="21"/>
      <c r="E14" s="33" t="s">
        <v>31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1" t="s">
        <v>28</v>
      </c>
      <c r="AL14" s="21"/>
      <c r="AM14" s="21"/>
      <c r="AN14" s="33" t="s">
        <v>31</v>
      </c>
      <c r="AO14" s="21"/>
      <c r="AP14" s="21"/>
      <c r="AQ14" s="21"/>
      <c r="AR14" s="19"/>
      <c r="BE14" s="30"/>
      <c r="BS14" s="16" t="s">
        <v>6</v>
      </c>
    </row>
    <row r="15" s="1" customFormat="1" ht="6.96" customHeight="1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19"/>
      <c r="BE15" s="30"/>
      <c r="BS15" s="16" t="s">
        <v>4</v>
      </c>
    </row>
    <row r="16" s="1" customFormat="1" ht="12" customHeight="1">
      <c r="B16" s="20"/>
      <c r="C16" s="21"/>
      <c r="D16" s="31" t="s">
        <v>32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31" t="s">
        <v>25</v>
      </c>
      <c r="AL16" s="21"/>
      <c r="AM16" s="21"/>
      <c r="AN16" s="26" t="s">
        <v>33</v>
      </c>
      <c r="AO16" s="21"/>
      <c r="AP16" s="21"/>
      <c r="AQ16" s="21"/>
      <c r="AR16" s="19"/>
      <c r="BE16" s="30"/>
      <c r="BS16" s="16" t="s">
        <v>4</v>
      </c>
    </row>
    <row r="17" s="1" customFormat="1" ht="18.48" customHeight="1">
      <c r="B17" s="20"/>
      <c r="C17" s="21"/>
      <c r="D17" s="21"/>
      <c r="E17" s="26" t="s">
        <v>34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31" t="s">
        <v>28</v>
      </c>
      <c r="AL17" s="21"/>
      <c r="AM17" s="21"/>
      <c r="AN17" s="26" t="s">
        <v>35</v>
      </c>
      <c r="AO17" s="21"/>
      <c r="AP17" s="21"/>
      <c r="AQ17" s="21"/>
      <c r="AR17" s="19"/>
      <c r="BE17" s="30"/>
      <c r="BS17" s="16" t="s">
        <v>36</v>
      </c>
    </row>
    <row r="18" s="1" customFormat="1" ht="6.96" customHeight="1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19"/>
      <c r="BE18" s="30"/>
      <c r="BS18" s="16" t="s">
        <v>6</v>
      </c>
    </row>
    <row r="19" s="1" customFormat="1" ht="12" customHeight="1">
      <c r="B19" s="20"/>
      <c r="C19" s="21"/>
      <c r="D19" s="31" t="s">
        <v>37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31" t="s">
        <v>25</v>
      </c>
      <c r="AL19" s="21"/>
      <c r="AM19" s="21"/>
      <c r="AN19" s="26" t="s">
        <v>1</v>
      </c>
      <c r="AO19" s="21"/>
      <c r="AP19" s="21"/>
      <c r="AQ19" s="21"/>
      <c r="AR19" s="19"/>
      <c r="BE19" s="30"/>
      <c r="BS19" s="16" t="s">
        <v>6</v>
      </c>
    </row>
    <row r="20" s="1" customFormat="1" ht="18.48" customHeight="1">
      <c r="B20" s="20"/>
      <c r="C20" s="21"/>
      <c r="D20" s="21"/>
      <c r="E20" s="26" t="s">
        <v>38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31" t="s">
        <v>28</v>
      </c>
      <c r="AL20" s="21"/>
      <c r="AM20" s="21"/>
      <c r="AN20" s="26" t="s">
        <v>1</v>
      </c>
      <c r="AO20" s="21"/>
      <c r="AP20" s="21"/>
      <c r="AQ20" s="21"/>
      <c r="AR20" s="19"/>
      <c r="BE20" s="30"/>
      <c r="BS20" s="16" t="s">
        <v>36</v>
      </c>
    </row>
    <row r="21" s="1" customFormat="1" ht="6.96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19"/>
      <c r="BE21" s="30"/>
    </row>
    <row r="22" s="1" customFormat="1" ht="12" customHeight="1">
      <c r="B22" s="20"/>
      <c r="C22" s="21"/>
      <c r="D22" s="31" t="s">
        <v>39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19"/>
      <c r="BE22" s="30"/>
    </row>
    <row r="23" s="1" customFormat="1" ht="16.5" customHeight="1">
      <c r="B23" s="20"/>
      <c r="C23" s="21"/>
      <c r="D23" s="21"/>
      <c r="E23" s="35" t="s">
        <v>40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21"/>
      <c r="AP23" s="21"/>
      <c r="AQ23" s="21"/>
      <c r="AR23" s="19"/>
      <c r="BE23" s="30"/>
    </row>
    <row r="24" s="1" customFormat="1" ht="6.96" customHeight="1"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19"/>
      <c r="BE24" s="30"/>
    </row>
    <row r="25" s="1" customFormat="1" ht="6.96" customHeight="1">
      <c r="B25" s="20"/>
      <c r="C25" s="21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21"/>
      <c r="AQ25" s="21"/>
      <c r="AR25" s="19"/>
      <c r="BE25" s="30"/>
    </row>
    <row r="26" s="2" customFormat="1" ht="25.92" customHeight="1">
      <c r="A26" s="37"/>
      <c r="B26" s="38"/>
      <c r="C26" s="39"/>
      <c r="D26" s="40" t="s">
        <v>41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2">
        <f>ROUND(AG94,2)</f>
        <v>0</v>
      </c>
      <c r="AL26" s="41"/>
      <c r="AM26" s="41"/>
      <c r="AN26" s="41"/>
      <c r="AO26" s="41"/>
      <c r="AP26" s="39"/>
      <c r="AQ26" s="39"/>
      <c r="AR26" s="43"/>
      <c r="BE26" s="30"/>
    </row>
    <row r="27" s="2" customFormat="1" ht="6.96" customHeight="1">
      <c r="A27" s="37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43"/>
      <c r="BE27" s="30"/>
    </row>
    <row r="28" s="2" customFormat="1">
      <c r="A28" s="37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4" t="s">
        <v>42</v>
      </c>
      <c r="M28" s="44"/>
      <c r="N28" s="44"/>
      <c r="O28" s="44"/>
      <c r="P28" s="44"/>
      <c r="Q28" s="39"/>
      <c r="R28" s="39"/>
      <c r="S28" s="39"/>
      <c r="T28" s="39"/>
      <c r="U28" s="39"/>
      <c r="V28" s="39"/>
      <c r="W28" s="44" t="s">
        <v>43</v>
      </c>
      <c r="X28" s="44"/>
      <c r="Y28" s="44"/>
      <c r="Z28" s="44"/>
      <c r="AA28" s="44"/>
      <c r="AB28" s="44"/>
      <c r="AC28" s="44"/>
      <c r="AD28" s="44"/>
      <c r="AE28" s="44"/>
      <c r="AF28" s="39"/>
      <c r="AG28" s="39"/>
      <c r="AH28" s="39"/>
      <c r="AI28" s="39"/>
      <c r="AJ28" s="39"/>
      <c r="AK28" s="44" t="s">
        <v>44</v>
      </c>
      <c r="AL28" s="44"/>
      <c r="AM28" s="44"/>
      <c r="AN28" s="44"/>
      <c r="AO28" s="44"/>
      <c r="AP28" s="39"/>
      <c r="AQ28" s="39"/>
      <c r="AR28" s="43"/>
      <c r="BE28" s="30"/>
    </row>
    <row r="29" s="3" customFormat="1" ht="14.4" customHeight="1">
      <c r="A29" s="3"/>
      <c r="B29" s="45"/>
      <c r="C29" s="46"/>
      <c r="D29" s="31" t="s">
        <v>45</v>
      </c>
      <c r="E29" s="46"/>
      <c r="F29" s="31" t="s">
        <v>46</v>
      </c>
      <c r="G29" s="46"/>
      <c r="H29" s="46"/>
      <c r="I29" s="46"/>
      <c r="J29" s="46"/>
      <c r="K29" s="46"/>
      <c r="L29" s="47">
        <v>0.20999999999999999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8">
        <f>ROUND(AZ94, 2)</f>
        <v>0</v>
      </c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8">
        <f>ROUND(AV94, 2)</f>
        <v>0</v>
      </c>
      <c r="AL29" s="46"/>
      <c r="AM29" s="46"/>
      <c r="AN29" s="46"/>
      <c r="AO29" s="46"/>
      <c r="AP29" s="46"/>
      <c r="AQ29" s="46"/>
      <c r="AR29" s="49"/>
      <c r="BE29" s="50"/>
    </row>
    <row r="30" s="3" customFormat="1" ht="14.4" customHeight="1">
      <c r="A30" s="3"/>
      <c r="B30" s="45"/>
      <c r="C30" s="46"/>
      <c r="D30" s="46"/>
      <c r="E30" s="46"/>
      <c r="F30" s="31" t="s">
        <v>47</v>
      </c>
      <c r="G30" s="46"/>
      <c r="H30" s="46"/>
      <c r="I30" s="46"/>
      <c r="J30" s="46"/>
      <c r="K30" s="46"/>
      <c r="L30" s="47">
        <v>0.12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8">
        <f>ROUND(BA94, 2)</f>
        <v>0</v>
      </c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8">
        <f>ROUND(AW94, 2)</f>
        <v>0</v>
      </c>
      <c r="AL30" s="46"/>
      <c r="AM30" s="46"/>
      <c r="AN30" s="46"/>
      <c r="AO30" s="46"/>
      <c r="AP30" s="46"/>
      <c r="AQ30" s="46"/>
      <c r="AR30" s="49"/>
      <c r="BE30" s="50"/>
    </row>
    <row r="31" hidden="1" s="3" customFormat="1" ht="14.4" customHeight="1">
      <c r="A31" s="3"/>
      <c r="B31" s="45"/>
      <c r="C31" s="46"/>
      <c r="D31" s="46"/>
      <c r="E31" s="46"/>
      <c r="F31" s="31" t="s">
        <v>48</v>
      </c>
      <c r="G31" s="46"/>
      <c r="H31" s="46"/>
      <c r="I31" s="46"/>
      <c r="J31" s="46"/>
      <c r="K31" s="46"/>
      <c r="L31" s="47">
        <v>0.20999999999999999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8">
        <f>ROUND(BB94, 2)</f>
        <v>0</v>
      </c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8">
        <v>0</v>
      </c>
      <c r="AL31" s="46"/>
      <c r="AM31" s="46"/>
      <c r="AN31" s="46"/>
      <c r="AO31" s="46"/>
      <c r="AP31" s="46"/>
      <c r="AQ31" s="46"/>
      <c r="AR31" s="49"/>
      <c r="BE31" s="50"/>
    </row>
    <row r="32" hidden="1" s="3" customFormat="1" ht="14.4" customHeight="1">
      <c r="A32" s="3"/>
      <c r="B32" s="45"/>
      <c r="C32" s="46"/>
      <c r="D32" s="46"/>
      <c r="E32" s="46"/>
      <c r="F32" s="31" t="s">
        <v>49</v>
      </c>
      <c r="G32" s="46"/>
      <c r="H32" s="46"/>
      <c r="I32" s="46"/>
      <c r="J32" s="46"/>
      <c r="K32" s="46"/>
      <c r="L32" s="47">
        <v>0.12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8">
        <f>ROUND(BC94, 2)</f>
        <v>0</v>
      </c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8">
        <v>0</v>
      </c>
      <c r="AL32" s="46"/>
      <c r="AM32" s="46"/>
      <c r="AN32" s="46"/>
      <c r="AO32" s="46"/>
      <c r="AP32" s="46"/>
      <c r="AQ32" s="46"/>
      <c r="AR32" s="49"/>
      <c r="BE32" s="50"/>
    </row>
    <row r="33" hidden="1" s="3" customFormat="1" ht="14.4" customHeight="1">
      <c r="A33" s="3"/>
      <c r="B33" s="45"/>
      <c r="C33" s="46"/>
      <c r="D33" s="46"/>
      <c r="E33" s="46"/>
      <c r="F33" s="31" t="s">
        <v>50</v>
      </c>
      <c r="G33" s="46"/>
      <c r="H33" s="46"/>
      <c r="I33" s="46"/>
      <c r="J33" s="46"/>
      <c r="K33" s="46"/>
      <c r="L33" s="47">
        <v>0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8">
        <f>ROUND(BD94, 2)</f>
        <v>0</v>
      </c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8">
        <v>0</v>
      </c>
      <c r="AL33" s="46"/>
      <c r="AM33" s="46"/>
      <c r="AN33" s="46"/>
      <c r="AO33" s="46"/>
      <c r="AP33" s="46"/>
      <c r="AQ33" s="46"/>
      <c r="AR33" s="49"/>
      <c r="BE33" s="50"/>
    </row>
    <row r="34" s="2" customFormat="1" ht="6.96" customHeight="1">
      <c r="A34" s="37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43"/>
      <c r="BE34" s="30"/>
    </row>
    <row r="35" s="2" customFormat="1" ht="25.92" customHeight="1">
      <c r="A35" s="37"/>
      <c r="B35" s="38"/>
      <c r="C35" s="51"/>
      <c r="D35" s="52" t="s">
        <v>51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4" t="s">
        <v>52</v>
      </c>
      <c r="U35" s="53"/>
      <c r="V35" s="53"/>
      <c r="W35" s="53"/>
      <c r="X35" s="55" t="s">
        <v>53</v>
      </c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6">
        <f>SUM(AK26:AK33)</f>
        <v>0</v>
      </c>
      <c r="AL35" s="53"/>
      <c r="AM35" s="53"/>
      <c r="AN35" s="53"/>
      <c r="AO35" s="57"/>
      <c r="AP35" s="51"/>
      <c r="AQ35" s="51"/>
      <c r="AR35" s="43"/>
      <c r="BE35" s="37"/>
    </row>
    <row r="36" s="2" customFormat="1" ht="6.96" customHeight="1">
      <c r="A36" s="37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43"/>
      <c r="BE36" s="37"/>
    </row>
    <row r="37" s="2" customFormat="1" ht="14.4" customHeight="1">
      <c r="A37" s="37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43"/>
      <c r="BE37" s="37"/>
    </row>
    <row r="38" s="1" customFormat="1" ht="14.4" customHeight="1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19"/>
    </row>
    <row r="39" s="1" customFormat="1" ht="14.4" customHeight="1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19"/>
    </row>
    <row r="40" s="1" customFormat="1" ht="14.4" customHeight="1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19"/>
    </row>
    <row r="41" s="1" customFormat="1" ht="14.4" customHeight="1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19"/>
    </row>
    <row r="42" s="1" customFormat="1" ht="14.4" customHeight="1"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19"/>
    </row>
    <row r="43" s="1" customFormat="1" ht="14.4" customHeight="1"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19"/>
    </row>
    <row r="44" s="1" customFormat="1" ht="14.4" customHeight="1"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19"/>
    </row>
    <row r="45" s="1" customFormat="1" ht="14.4" customHeight="1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19"/>
    </row>
    <row r="46" s="1" customFormat="1" ht="14.4" customHeight="1"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19"/>
    </row>
    <row r="47" s="1" customFormat="1" ht="14.4" customHeight="1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19"/>
    </row>
    <row r="48" s="1" customFormat="1" ht="14.4" customHeight="1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19"/>
    </row>
    <row r="49" s="2" customFormat="1" ht="14.4" customHeight="1">
      <c r="B49" s="58"/>
      <c r="C49" s="59"/>
      <c r="D49" s="60" t="s">
        <v>54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0" t="s">
        <v>55</v>
      </c>
      <c r="AI49" s="61"/>
      <c r="AJ49" s="61"/>
      <c r="AK49" s="61"/>
      <c r="AL49" s="61"/>
      <c r="AM49" s="61"/>
      <c r="AN49" s="61"/>
      <c r="AO49" s="61"/>
      <c r="AP49" s="59"/>
      <c r="AQ49" s="59"/>
      <c r="AR49" s="62"/>
    </row>
    <row r="50"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19"/>
    </row>
    <row r="51"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19"/>
    </row>
    <row r="52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19"/>
    </row>
    <row r="5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19"/>
    </row>
    <row r="54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19"/>
    </row>
    <row r="55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19"/>
    </row>
    <row r="56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19"/>
    </row>
    <row r="57"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19"/>
    </row>
    <row r="58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19"/>
    </row>
    <row r="59"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19"/>
    </row>
    <row r="60" s="2" customFormat="1">
      <c r="A60" s="37"/>
      <c r="B60" s="38"/>
      <c r="C60" s="39"/>
      <c r="D60" s="63" t="s">
        <v>56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63" t="s">
        <v>57</v>
      </c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63" t="s">
        <v>56</v>
      </c>
      <c r="AI60" s="41"/>
      <c r="AJ60" s="41"/>
      <c r="AK60" s="41"/>
      <c r="AL60" s="41"/>
      <c r="AM60" s="63" t="s">
        <v>57</v>
      </c>
      <c r="AN60" s="41"/>
      <c r="AO60" s="41"/>
      <c r="AP60" s="39"/>
      <c r="AQ60" s="39"/>
      <c r="AR60" s="43"/>
      <c r="BE60" s="37"/>
    </row>
    <row r="61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19"/>
    </row>
    <row r="62"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19"/>
    </row>
    <row r="63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19"/>
    </row>
    <row r="64" s="2" customFormat="1">
      <c r="A64" s="37"/>
      <c r="B64" s="38"/>
      <c r="C64" s="39"/>
      <c r="D64" s="60" t="s">
        <v>58</v>
      </c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0" t="s">
        <v>59</v>
      </c>
      <c r="AI64" s="64"/>
      <c r="AJ64" s="64"/>
      <c r="AK64" s="64"/>
      <c r="AL64" s="64"/>
      <c r="AM64" s="64"/>
      <c r="AN64" s="64"/>
      <c r="AO64" s="64"/>
      <c r="AP64" s="39"/>
      <c r="AQ64" s="39"/>
      <c r="AR64" s="43"/>
      <c r="BE64" s="37"/>
    </row>
    <row r="65"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19"/>
    </row>
    <row r="66"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19"/>
    </row>
    <row r="67"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19"/>
    </row>
    <row r="68"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19"/>
    </row>
    <row r="69"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19"/>
    </row>
    <row r="70"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19"/>
    </row>
    <row r="71"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19"/>
    </row>
    <row r="72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19"/>
    </row>
    <row r="73"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19"/>
    </row>
    <row r="74"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19"/>
    </row>
    <row r="75" s="2" customFormat="1">
      <c r="A75" s="37"/>
      <c r="B75" s="38"/>
      <c r="C75" s="39"/>
      <c r="D75" s="63" t="s">
        <v>56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63" t="s">
        <v>57</v>
      </c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63" t="s">
        <v>56</v>
      </c>
      <c r="AI75" s="41"/>
      <c r="AJ75" s="41"/>
      <c r="AK75" s="41"/>
      <c r="AL75" s="41"/>
      <c r="AM75" s="63" t="s">
        <v>57</v>
      </c>
      <c r="AN75" s="41"/>
      <c r="AO75" s="41"/>
      <c r="AP75" s="39"/>
      <c r="AQ75" s="39"/>
      <c r="AR75" s="43"/>
      <c r="BE75" s="37"/>
    </row>
    <row r="76" s="2" customFormat="1">
      <c r="A76" s="37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43"/>
      <c r="BE76" s="37"/>
    </row>
    <row r="77" s="2" customFormat="1" ht="6.96" customHeight="1">
      <c r="A77" s="37"/>
      <c r="B77" s="65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43"/>
      <c r="BE77" s="37"/>
    </row>
    <row r="81" s="2" customFormat="1" ht="6.96" customHeight="1">
      <c r="A81" s="37"/>
      <c r="B81" s="67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43"/>
      <c r="BE81" s="37"/>
    </row>
    <row r="82" s="2" customFormat="1" ht="24.96" customHeight="1">
      <c r="A82" s="37"/>
      <c r="B82" s="38"/>
      <c r="C82" s="22" t="s">
        <v>60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43"/>
      <c r="B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43"/>
      <c r="BE83" s="37"/>
    </row>
    <row r="84" s="4" customFormat="1" ht="12" customHeight="1">
      <c r="A84" s="4"/>
      <c r="B84" s="69"/>
      <c r="C84" s="31" t="s">
        <v>13</v>
      </c>
      <c r="D84" s="70"/>
      <c r="E84" s="70"/>
      <c r="F84" s="70"/>
      <c r="G84" s="70"/>
      <c r="H84" s="70"/>
      <c r="I84" s="70"/>
      <c r="J84" s="70"/>
      <c r="K84" s="70"/>
      <c r="L84" s="70" t="str">
        <f>K5</f>
        <v>CB_III/0236-001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1"/>
      <c r="BE84" s="4"/>
    </row>
    <row r="85" s="5" customFormat="1" ht="36.96" customHeight="1">
      <c r="A85" s="5"/>
      <c r="B85" s="72"/>
      <c r="C85" s="73" t="s">
        <v>16</v>
      </c>
      <c r="D85" s="74"/>
      <c r="E85" s="74"/>
      <c r="F85" s="74"/>
      <c r="G85" s="74"/>
      <c r="H85" s="74"/>
      <c r="I85" s="74"/>
      <c r="J85" s="74"/>
      <c r="K85" s="74"/>
      <c r="L85" s="75" t="str">
        <f>K6</f>
        <v>Oprava silnice III/0236 Dobšice</v>
      </c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6"/>
      <c r="BE85" s="5"/>
    </row>
    <row r="86" s="2" customFormat="1" ht="6.96" customHeight="1">
      <c r="A86" s="37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43"/>
      <c r="BE86" s="37"/>
    </row>
    <row r="87" s="2" customFormat="1" ht="12" customHeight="1">
      <c r="A87" s="37"/>
      <c r="B87" s="38"/>
      <c r="C87" s="31" t="s">
        <v>20</v>
      </c>
      <c r="D87" s="39"/>
      <c r="E87" s="39"/>
      <c r="F87" s="39"/>
      <c r="G87" s="39"/>
      <c r="H87" s="39"/>
      <c r="I87" s="39"/>
      <c r="J87" s="39"/>
      <c r="K87" s="39"/>
      <c r="L87" s="77" t="str">
        <f>IF(K8="","",K8)</f>
        <v>Dobšice</v>
      </c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1" t="s">
        <v>22</v>
      </c>
      <c r="AJ87" s="39"/>
      <c r="AK87" s="39"/>
      <c r="AL87" s="39"/>
      <c r="AM87" s="78" t="str">
        <f>IF(AN8= "","",AN8)</f>
        <v>17. 11. 2024</v>
      </c>
      <c r="AN87" s="78"/>
      <c r="AO87" s="39"/>
      <c r="AP87" s="39"/>
      <c r="AQ87" s="39"/>
      <c r="AR87" s="43"/>
      <c r="B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43"/>
      <c r="BE88" s="37"/>
    </row>
    <row r="89" s="2" customFormat="1" ht="25.65" customHeight="1">
      <c r="A89" s="37"/>
      <c r="B89" s="38"/>
      <c r="C89" s="31" t="s">
        <v>24</v>
      </c>
      <c r="D89" s="39"/>
      <c r="E89" s="39"/>
      <c r="F89" s="39"/>
      <c r="G89" s="39"/>
      <c r="H89" s="39"/>
      <c r="I89" s="39"/>
      <c r="J89" s="39"/>
      <c r="K89" s="39"/>
      <c r="L89" s="70" t="str">
        <f>IF(E11= "","",E11)</f>
        <v>Jihočeský kraj</v>
      </c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1" t="s">
        <v>32</v>
      </c>
      <c r="AJ89" s="39"/>
      <c r="AK89" s="39"/>
      <c r="AL89" s="39"/>
      <c r="AM89" s="79" t="str">
        <f>IF(E17="","",E17)</f>
        <v>Správa a údržba silnic Jihočeského kraje p.o.</v>
      </c>
      <c r="AN89" s="70"/>
      <c r="AO89" s="70"/>
      <c r="AP89" s="70"/>
      <c r="AQ89" s="39"/>
      <c r="AR89" s="43"/>
      <c r="AS89" s="80" t="s">
        <v>61</v>
      </c>
      <c r="AT89" s="81"/>
      <c r="AU89" s="82"/>
      <c r="AV89" s="82"/>
      <c r="AW89" s="82"/>
      <c r="AX89" s="82"/>
      <c r="AY89" s="82"/>
      <c r="AZ89" s="82"/>
      <c r="BA89" s="82"/>
      <c r="BB89" s="82"/>
      <c r="BC89" s="82"/>
      <c r="BD89" s="83"/>
      <c r="BE89" s="37"/>
    </row>
    <row r="90" s="2" customFormat="1" ht="15.15" customHeight="1">
      <c r="A90" s="37"/>
      <c r="B90" s="38"/>
      <c r="C90" s="31" t="s">
        <v>30</v>
      </c>
      <c r="D90" s="39"/>
      <c r="E90" s="39"/>
      <c r="F90" s="39"/>
      <c r="G90" s="39"/>
      <c r="H90" s="39"/>
      <c r="I90" s="39"/>
      <c r="J90" s="39"/>
      <c r="K90" s="39"/>
      <c r="L90" s="70" t="str">
        <f>IF(E14= "Vyplň údaj","",E14)</f>
        <v/>
      </c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1" t="s">
        <v>37</v>
      </c>
      <c r="AJ90" s="39"/>
      <c r="AK90" s="39"/>
      <c r="AL90" s="39"/>
      <c r="AM90" s="79" t="str">
        <f>IF(E20="","",E20)</f>
        <v>Petr Nachtigal 606 633 836</v>
      </c>
      <c r="AN90" s="70"/>
      <c r="AO90" s="70"/>
      <c r="AP90" s="70"/>
      <c r="AQ90" s="39"/>
      <c r="AR90" s="43"/>
      <c r="AS90" s="84"/>
      <c r="AT90" s="85"/>
      <c r="AU90" s="86"/>
      <c r="AV90" s="86"/>
      <c r="AW90" s="86"/>
      <c r="AX90" s="86"/>
      <c r="AY90" s="86"/>
      <c r="AZ90" s="86"/>
      <c r="BA90" s="86"/>
      <c r="BB90" s="86"/>
      <c r="BC90" s="86"/>
      <c r="BD90" s="87"/>
      <c r="BE90" s="37"/>
    </row>
    <row r="91" s="2" customFormat="1" ht="10.8" customHeight="1">
      <c r="A91" s="37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43"/>
      <c r="AS91" s="88"/>
      <c r="AT91" s="89"/>
      <c r="AU91" s="90"/>
      <c r="AV91" s="90"/>
      <c r="AW91" s="90"/>
      <c r="AX91" s="90"/>
      <c r="AY91" s="90"/>
      <c r="AZ91" s="90"/>
      <c r="BA91" s="90"/>
      <c r="BB91" s="90"/>
      <c r="BC91" s="90"/>
      <c r="BD91" s="91"/>
      <c r="BE91" s="37"/>
    </row>
    <row r="92" s="2" customFormat="1" ht="29.28" customHeight="1">
      <c r="A92" s="37"/>
      <c r="B92" s="38"/>
      <c r="C92" s="92" t="s">
        <v>62</v>
      </c>
      <c r="D92" s="93"/>
      <c r="E92" s="93"/>
      <c r="F92" s="93"/>
      <c r="G92" s="93"/>
      <c r="H92" s="94"/>
      <c r="I92" s="95" t="s">
        <v>63</v>
      </c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6" t="s">
        <v>64</v>
      </c>
      <c r="AH92" s="93"/>
      <c r="AI92" s="93"/>
      <c r="AJ92" s="93"/>
      <c r="AK92" s="93"/>
      <c r="AL92" s="93"/>
      <c r="AM92" s="93"/>
      <c r="AN92" s="95" t="s">
        <v>65</v>
      </c>
      <c r="AO92" s="93"/>
      <c r="AP92" s="97"/>
      <c r="AQ92" s="98" t="s">
        <v>66</v>
      </c>
      <c r="AR92" s="43"/>
      <c r="AS92" s="99" t="s">
        <v>67</v>
      </c>
      <c r="AT92" s="100" t="s">
        <v>68</v>
      </c>
      <c r="AU92" s="100" t="s">
        <v>69</v>
      </c>
      <c r="AV92" s="100" t="s">
        <v>70</v>
      </c>
      <c r="AW92" s="100" t="s">
        <v>71</v>
      </c>
      <c r="AX92" s="100" t="s">
        <v>72</v>
      </c>
      <c r="AY92" s="100" t="s">
        <v>73</v>
      </c>
      <c r="AZ92" s="100" t="s">
        <v>74</v>
      </c>
      <c r="BA92" s="100" t="s">
        <v>75</v>
      </c>
      <c r="BB92" s="100" t="s">
        <v>76</v>
      </c>
      <c r="BC92" s="100" t="s">
        <v>77</v>
      </c>
      <c r="BD92" s="101" t="s">
        <v>78</v>
      </c>
      <c r="BE92" s="37"/>
    </row>
    <row r="93" s="2" customFormat="1" ht="10.8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43"/>
      <c r="AS93" s="102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4"/>
      <c r="BE93" s="37"/>
    </row>
    <row r="94" s="6" customFormat="1" ht="32.4" customHeight="1">
      <c r="A94" s="6"/>
      <c r="B94" s="105"/>
      <c r="C94" s="106" t="s">
        <v>79</v>
      </c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8">
        <f>ROUND(SUM(AG95:AG98),2)</f>
        <v>0</v>
      </c>
      <c r="AH94" s="108"/>
      <c r="AI94" s="108"/>
      <c r="AJ94" s="108"/>
      <c r="AK94" s="108"/>
      <c r="AL94" s="108"/>
      <c r="AM94" s="108"/>
      <c r="AN94" s="109">
        <f>SUM(AG94,AT94)</f>
        <v>0</v>
      </c>
      <c r="AO94" s="109"/>
      <c r="AP94" s="109"/>
      <c r="AQ94" s="110" t="s">
        <v>1</v>
      </c>
      <c r="AR94" s="111"/>
      <c r="AS94" s="112">
        <f>ROUND(SUM(AS95:AS98),2)</f>
        <v>0</v>
      </c>
      <c r="AT94" s="113">
        <f>ROUND(SUM(AV94:AW94),2)</f>
        <v>0</v>
      </c>
      <c r="AU94" s="114">
        <f>ROUND(SUM(AU95:AU98),5)</f>
        <v>0</v>
      </c>
      <c r="AV94" s="113">
        <f>ROUND(AZ94*L29,2)</f>
        <v>0</v>
      </c>
      <c r="AW94" s="113">
        <f>ROUND(BA94*L30,2)</f>
        <v>0</v>
      </c>
      <c r="AX94" s="113">
        <f>ROUND(BB94*L29,2)</f>
        <v>0</v>
      </c>
      <c r="AY94" s="113">
        <f>ROUND(BC94*L30,2)</f>
        <v>0</v>
      </c>
      <c r="AZ94" s="113">
        <f>ROUND(SUM(AZ95:AZ98),2)</f>
        <v>0</v>
      </c>
      <c r="BA94" s="113">
        <f>ROUND(SUM(BA95:BA98),2)</f>
        <v>0</v>
      </c>
      <c r="BB94" s="113">
        <f>ROUND(SUM(BB95:BB98),2)</f>
        <v>0</v>
      </c>
      <c r="BC94" s="113">
        <f>ROUND(SUM(BC95:BC98),2)</f>
        <v>0</v>
      </c>
      <c r="BD94" s="115">
        <f>ROUND(SUM(BD95:BD98),2)</f>
        <v>0</v>
      </c>
      <c r="BE94" s="6"/>
      <c r="BS94" s="116" t="s">
        <v>80</v>
      </c>
      <c r="BT94" s="116" t="s">
        <v>81</v>
      </c>
      <c r="BU94" s="117" t="s">
        <v>82</v>
      </c>
      <c r="BV94" s="116" t="s">
        <v>83</v>
      </c>
      <c r="BW94" s="116" t="s">
        <v>5</v>
      </c>
      <c r="BX94" s="116" t="s">
        <v>84</v>
      </c>
      <c r="CL94" s="116" t="s">
        <v>1</v>
      </c>
    </row>
    <row r="95" s="7" customFormat="1" ht="24.75" customHeight="1">
      <c r="A95" s="118" t="s">
        <v>85</v>
      </c>
      <c r="B95" s="119"/>
      <c r="C95" s="120"/>
      <c r="D95" s="121" t="s">
        <v>86</v>
      </c>
      <c r="E95" s="121"/>
      <c r="F95" s="121"/>
      <c r="G95" s="121"/>
      <c r="H95" s="121"/>
      <c r="I95" s="122"/>
      <c r="J95" s="121" t="s">
        <v>87</v>
      </c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3">
        <f>'SO101 - Oprava silnice II...'!J30</f>
        <v>0</v>
      </c>
      <c r="AH95" s="122"/>
      <c r="AI95" s="122"/>
      <c r="AJ95" s="122"/>
      <c r="AK95" s="122"/>
      <c r="AL95" s="122"/>
      <c r="AM95" s="122"/>
      <c r="AN95" s="123">
        <f>SUM(AG95,AT95)</f>
        <v>0</v>
      </c>
      <c r="AO95" s="122"/>
      <c r="AP95" s="122"/>
      <c r="AQ95" s="124" t="s">
        <v>88</v>
      </c>
      <c r="AR95" s="125"/>
      <c r="AS95" s="126">
        <v>0</v>
      </c>
      <c r="AT95" s="127">
        <f>ROUND(SUM(AV95:AW95),2)</f>
        <v>0</v>
      </c>
      <c r="AU95" s="128">
        <f>'SO101 - Oprava silnice II...'!P122</f>
        <v>0</v>
      </c>
      <c r="AV95" s="127">
        <f>'SO101 - Oprava silnice II...'!J33</f>
        <v>0</v>
      </c>
      <c r="AW95" s="127">
        <f>'SO101 - Oprava silnice II...'!J34</f>
        <v>0</v>
      </c>
      <c r="AX95" s="127">
        <f>'SO101 - Oprava silnice II...'!J35</f>
        <v>0</v>
      </c>
      <c r="AY95" s="127">
        <f>'SO101 - Oprava silnice II...'!J36</f>
        <v>0</v>
      </c>
      <c r="AZ95" s="127">
        <f>'SO101 - Oprava silnice II...'!F33</f>
        <v>0</v>
      </c>
      <c r="BA95" s="127">
        <f>'SO101 - Oprava silnice II...'!F34</f>
        <v>0</v>
      </c>
      <c r="BB95" s="127">
        <f>'SO101 - Oprava silnice II...'!F35</f>
        <v>0</v>
      </c>
      <c r="BC95" s="127">
        <f>'SO101 - Oprava silnice II...'!F36</f>
        <v>0</v>
      </c>
      <c r="BD95" s="129">
        <f>'SO101 - Oprava silnice II...'!F37</f>
        <v>0</v>
      </c>
      <c r="BE95" s="7"/>
      <c r="BT95" s="130" t="s">
        <v>89</v>
      </c>
      <c r="BV95" s="130" t="s">
        <v>83</v>
      </c>
      <c r="BW95" s="130" t="s">
        <v>90</v>
      </c>
      <c r="BX95" s="130" t="s">
        <v>5</v>
      </c>
      <c r="CL95" s="130" t="s">
        <v>1</v>
      </c>
      <c r="CM95" s="130" t="s">
        <v>91</v>
      </c>
    </row>
    <row r="96" s="7" customFormat="1" ht="24.75" customHeight="1">
      <c r="A96" s="118" t="s">
        <v>85</v>
      </c>
      <c r="B96" s="119"/>
      <c r="C96" s="120"/>
      <c r="D96" s="121" t="s">
        <v>92</v>
      </c>
      <c r="E96" s="121"/>
      <c r="F96" s="121"/>
      <c r="G96" s="121"/>
      <c r="H96" s="121"/>
      <c r="I96" s="122"/>
      <c r="J96" s="121" t="s">
        <v>93</v>
      </c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3">
        <f>'SO102 - Oprava silnice II...'!J30</f>
        <v>0</v>
      </c>
      <c r="AH96" s="122"/>
      <c r="AI96" s="122"/>
      <c r="AJ96" s="122"/>
      <c r="AK96" s="122"/>
      <c r="AL96" s="122"/>
      <c r="AM96" s="122"/>
      <c r="AN96" s="123">
        <f>SUM(AG96,AT96)</f>
        <v>0</v>
      </c>
      <c r="AO96" s="122"/>
      <c r="AP96" s="122"/>
      <c r="AQ96" s="124" t="s">
        <v>88</v>
      </c>
      <c r="AR96" s="125"/>
      <c r="AS96" s="126">
        <v>0</v>
      </c>
      <c r="AT96" s="127">
        <f>ROUND(SUM(AV96:AW96),2)</f>
        <v>0</v>
      </c>
      <c r="AU96" s="128">
        <f>'SO102 - Oprava silnice II...'!P122</f>
        <v>0</v>
      </c>
      <c r="AV96" s="127">
        <f>'SO102 - Oprava silnice II...'!J33</f>
        <v>0</v>
      </c>
      <c r="AW96" s="127">
        <f>'SO102 - Oprava silnice II...'!J34</f>
        <v>0</v>
      </c>
      <c r="AX96" s="127">
        <f>'SO102 - Oprava silnice II...'!J35</f>
        <v>0</v>
      </c>
      <c r="AY96" s="127">
        <f>'SO102 - Oprava silnice II...'!J36</f>
        <v>0</v>
      </c>
      <c r="AZ96" s="127">
        <f>'SO102 - Oprava silnice II...'!F33</f>
        <v>0</v>
      </c>
      <c r="BA96" s="127">
        <f>'SO102 - Oprava silnice II...'!F34</f>
        <v>0</v>
      </c>
      <c r="BB96" s="127">
        <f>'SO102 - Oprava silnice II...'!F35</f>
        <v>0</v>
      </c>
      <c r="BC96" s="127">
        <f>'SO102 - Oprava silnice II...'!F36</f>
        <v>0</v>
      </c>
      <c r="BD96" s="129">
        <f>'SO102 - Oprava silnice II...'!F37</f>
        <v>0</v>
      </c>
      <c r="BE96" s="7"/>
      <c r="BT96" s="130" t="s">
        <v>89</v>
      </c>
      <c r="BV96" s="130" t="s">
        <v>83</v>
      </c>
      <c r="BW96" s="130" t="s">
        <v>94</v>
      </c>
      <c r="BX96" s="130" t="s">
        <v>5</v>
      </c>
      <c r="CL96" s="130" t="s">
        <v>1</v>
      </c>
      <c r="CM96" s="130" t="s">
        <v>91</v>
      </c>
    </row>
    <row r="97" s="7" customFormat="1" ht="16.5" customHeight="1">
      <c r="A97" s="118" t="s">
        <v>85</v>
      </c>
      <c r="B97" s="119"/>
      <c r="C97" s="120"/>
      <c r="D97" s="121" t="s">
        <v>95</v>
      </c>
      <c r="E97" s="121"/>
      <c r="F97" s="121"/>
      <c r="G97" s="121"/>
      <c r="H97" s="121"/>
      <c r="I97" s="122"/>
      <c r="J97" s="121" t="s">
        <v>96</v>
      </c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3">
        <f>'SO103 - DIO'!J30</f>
        <v>0</v>
      </c>
      <c r="AH97" s="122"/>
      <c r="AI97" s="122"/>
      <c r="AJ97" s="122"/>
      <c r="AK97" s="122"/>
      <c r="AL97" s="122"/>
      <c r="AM97" s="122"/>
      <c r="AN97" s="123">
        <f>SUM(AG97,AT97)</f>
        <v>0</v>
      </c>
      <c r="AO97" s="122"/>
      <c r="AP97" s="122"/>
      <c r="AQ97" s="124" t="s">
        <v>88</v>
      </c>
      <c r="AR97" s="125"/>
      <c r="AS97" s="126">
        <v>0</v>
      </c>
      <c r="AT97" s="127">
        <f>ROUND(SUM(AV97:AW97),2)</f>
        <v>0</v>
      </c>
      <c r="AU97" s="128">
        <f>'SO103 - DIO'!P118</f>
        <v>0</v>
      </c>
      <c r="AV97" s="127">
        <f>'SO103 - DIO'!J33</f>
        <v>0</v>
      </c>
      <c r="AW97" s="127">
        <f>'SO103 - DIO'!J34</f>
        <v>0</v>
      </c>
      <c r="AX97" s="127">
        <f>'SO103 - DIO'!J35</f>
        <v>0</v>
      </c>
      <c r="AY97" s="127">
        <f>'SO103 - DIO'!J36</f>
        <v>0</v>
      </c>
      <c r="AZ97" s="127">
        <f>'SO103 - DIO'!F33</f>
        <v>0</v>
      </c>
      <c r="BA97" s="127">
        <f>'SO103 - DIO'!F34</f>
        <v>0</v>
      </c>
      <c r="BB97" s="127">
        <f>'SO103 - DIO'!F35</f>
        <v>0</v>
      </c>
      <c r="BC97" s="127">
        <f>'SO103 - DIO'!F36</f>
        <v>0</v>
      </c>
      <c r="BD97" s="129">
        <f>'SO103 - DIO'!F37</f>
        <v>0</v>
      </c>
      <c r="BE97" s="7"/>
      <c r="BT97" s="130" t="s">
        <v>89</v>
      </c>
      <c r="BV97" s="130" t="s">
        <v>83</v>
      </c>
      <c r="BW97" s="130" t="s">
        <v>97</v>
      </c>
      <c r="BX97" s="130" t="s">
        <v>5</v>
      </c>
      <c r="CL97" s="130" t="s">
        <v>1</v>
      </c>
      <c r="CM97" s="130" t="s">
        <v>91</v>
      </c>
    </row>
    <row r="98" s="7" customFormat="1" ht="16.5" customHeight="1">
      <c r="A98" s="118" t="s">
        <v>85</v>
      </c>
      <c r="B98" s="119"/>
      <c r="C98" s="120"/>
      <c r="D98" s="121" t="s">
        <v>98</v>
      </c>
      <c r="E98" s="121"/>
      <c r="F98" s="121"/>
      <c r="G98" s="121"/>
      <c r="H98" s="121"/>
      <c r="I98" s="122"/>
      <c r="J98" s="121" t="s">
        <v>99</v>
      </c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3">
        <f>'SO104 - Doplňující údaje '!J30</f>
        <v>0</v>
      </c>
      <c r="AH98" s="122"/>
      <c r="AI98" s="122"/>
      <c r="AJ98" s="122"/>
      <c r="AK98" s="122"/>
      <c r="AL98" s="122"/>
      <c r="AM98" s="122"/>
      <c r="AN98" s="123">
        <f>SUM(AG98,AT98)</f>
        <v>0</v>
      </c>
      <c r="AO98" s="122"/>
      <c r="AP98" s="122"/>
      <c r="AQ98" s="124" t="s">
        <v>88</v>
      </c>
      <c r="AR98" s="125"/>
      <c r="AS98" s="131">
        <v>0</v>
      </c>
      <c r="AT98" s="132">
        <f>ROUND(SUM(AV98:AW98),2)</f>
        <v>0</v>
      </c>
      <c r="AU98" s="133">
        <f>'SO104 - Doplňující údaje '!P117</f>
        <v>0</v>
      </c>
      <c r="AV98" s="132">
        <f>'SO104 - Doplňující údaje '!J33</f>
        <v>0</v>
      </c>
      <c r="AW98" s="132">
        <f>'SO104 - Doplňující údaje '!J34</f>
        <v>0</v>
      </c>
      <c r="AX98" s="132">
        <f>'SO104 - Doplňující údaje '!J35</f>
        <v>0</v>
      </c>
      <c r="AY98" s="132">
        <f>'SO104 - Doplňující údaje '!J36</f>
        <v>0</v>
      </c>
      <c r="AZ98" s="132">
        <f>'SO104 - Doplňující údaje '!F33</f>
        <v>0</v>
      </c>
      <c r="BA98" s="132">
        <f>'SO104 - Doplňující údaje '!F34</f>
        <v>0</v>
      </c>
      <c r="BB98" s="132">
        <f>'SO104 - Doplňující údaje '!F35</f>
        <v>0</v>
      </c>
      <c r="BC98" s="132">
        <f>'SO104 - Doplňující údaje '!F36</f>
        <v>0</v>
      </c>
      <c r="BD98" s="134">
        <f>'SO104 - Doplňující údaje '!F37</f>
        <v>0</v>
      </c>
      <c r="BE98" s="7"/>
      <c r="BT98" s="130" t="s">
        <v>89</v>
      </c>
      <c r="BV98" s="130" t="s">
        <v>83</v>
      </c>
      <c r="BW98" s="130" t="s">
        <v>100</v>
      </c>
      <c r="BX98" s="130" t="s">
        <v>5</v>
      </c>
      <c r="CL98" s="130" t="s">
        <v>1</v>
      </c>
      <c r="CM98" s="130" t="s">
        <v>91</v>
      </c>
    </row>
    <row r="99" s="2" customFormat="1" ht="30" customHeight="1">
      <c r="A99" s="37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43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  <row r="100" s="2" customFormat="1" ht="6.96" customHeight="1">
      <c r="A100" s="37"/>
      <c r="B100" s="65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43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</row>
  </sheetData>
  <sheetProtection sheet="1" formatColumns="0" formatRows="0" objects="1" scenarios="1" spinCount="100000" saltValue="V5Z/e8xSo+2VvR9u0+fPySfVdYLz5COk7CZw8vG3pvetdm7QZ5iMuXaAOHlCK2ETn+5FMD2gCioQ0jl6BxfMkg==" hashValue="QvYiIVsm80TtPfr7ULaHvpm9YoHj1j4HBqsr+ffhKC1lqSOf/tRiqIEGUUvm6q3SdBINUPCJ1xsuar21yFxDuA==" algorithmName="SHA-512" password="C724"/>
  <mergeCells count="54">
    <mergeCell ref="L85:AJ85"/>
    <mergeCell ref="AM87:AN87"/>
    <mergeCell ref="AM89:AP89"/>
    <mergeCell ref="AS89:AT91"/>
    <mergeCell ref="AM90:AP90"/>
    <mergeCell ref="C92:G92"/>
    <mergeCell ref="AG92:AM92"/>
    <mergeCell ref="I92:AF92"/>
    <mergeCell ref="AN92:AP92"/>
    <mergeCell ref="D95:H95"/>
    <mergeCell ref="AG95:AM95"/>
    <mergeCell ref="J95:AF95"/>
    <mergeCell ref="AN95:AP95"/>
    <mergeCell ref="J96:AF96"/>
    <mergeCell ref="D96:H96"/>
    <mergeCell ref="AG96:AM96"/>
    <mergeCell ref="AN96:AP96"/>
    <mergeCell ref="AN97:AP97"/>
    <mergeCell ref="D97:H97"/>
    <mergeCell ref="J97:AF97"/>
    <mergeCell ref="AG97:AM97"/>
    <mergeCell ref="AN98:AP98"/>
    <mergeCell ref="AG98:AM98"/>
    <mergeCell ref="D98:H98"/>
    <mergeCell ref="J98:AF98"/>
    <mergeCell ref="AG94:AM94"/>
    <mergeCell ref="AN94:AP94"/>
    <mergeCell ref="BE5:BE34"/>
    <mergeCell ref="K5:AJ5"/>
    <mergeCell ref="K6:AJ6"/>
    <mergeCell ref="E14:AJ14"/>
    <mergeCell ref="E23:AN23"/>
    <mergeCell ref="AK26:AO26"/>
    <mergeCell ref="L28:P28"/>
    <mergeCell ref="W28:AE28"/>
    <mergeCell ref="AK28:AO28"/>
    <mergeCell ref="W29:AE29"/>
    <mergeCell ref="L29:P29"/>
    <mergeCell ref="AK29:AO29"/>
    <mergeCell ref="AK30:AO30"/>
    <mergeCell ref="L30:P30"/>
    <mergeCell ref="W30:AE30"/>
    <mergeCell ref="L31:P31"/>
    <mergeCell ref="W31:AE31"/>
    <mergeCell ref="AK31:AO31"/>
    <mergeCell ref="AK32:AO32"/>
    <mergeCell ref="L32:P32"/>
    <mergeCell ref="W32:AE32"/>
    <mergeCell ref="AK33:AO33"/>
    <mergeCell ref="L33:P33"/>
    <mergeCell ref="W33:AE33"/>
    <mergeCell ref="AK35:AO35"/>
    <mergeCell ref="X35:AB35"/>
    <mergeCell ref="AR2:BE2"/>
  </mergeCells>
  <hyperlinks>
    <hyperlink ref="A95" location="'SO101 - Oprava silnice II...'!C2" display="/"/>
    <hyperlink ref="A96" location="'SO102 - Oprava silnice II...'!C2" display="/"/>
    <hyperlink ref="A97" location="'SO103 - DIO'!C2" display="/"/>
    <hyperlink ref="A98" location="'SO104 - Doplňující údaje '!C2" display="/"/>
  </hyperlink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90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III/0236 Dobšice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30" customHeight="1">
      <c r="A9" s="37"/>
      <c r="B9" s="43"/>
      <c r="C9" s="37"/>
      <c r="D9" s="37"/>
      <c r="E9" s="141" t="s">
        <v>103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17. 11. 2024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ROUND(J122,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ROUND((SUM(BE122:BE223)),  2)</f>
        <v>0</v>
      </c>
      <c r="G33" s="37"/>
      <c r="H33" s="37"/>
      <c r="I33" s="154">
        <v>0.20999999999999999</v>
      </c>
      <c r="J33" s="153">
        <f>ROUND(((SUM(BE122:BE223))*I33),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ROUND((SUM(BF122:BF223)),  2)</f>
        <v>0</v>
      </c>
      <c r="G34" s="37"/>
      <c r="H34" s="37"/>
      <c r="I34" s="154">
        <v>0.12</v>
      </c>
      <c r="J34" s="153">
        <f>ROUND(((SUM(BF122:BF223))*I34),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ROUND((SUM(BG122:BG223)),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ROUND((SUM(BH122:BH223)),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ROUND((SUM(BI122:BI223)),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III/0236 Dobšice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30" customHeight="1">
      <c r="A87" s="37"/>
      <c r="B87" s="38"/>
      <c r="C87" s="39"/>
      <c r="D87" s="39"/>
      <c r="E87" s="75" t="str">
        <f>E9</f>
        <v>SO101 - Oprava silnice III/0236 Dobšice, staničení km 2,709-3,130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Dobšice</v>
      </c>
      <c r="G89" s="39"/>
      <c r="H89" s="39"/>
      <c r="I89" s="31" t="s">
        <v>22</v>
      </c>
      <c r="J89" s="78" t="str">
        <f>IF(J12="","",J12)</f>
        <v>17. 11. 2024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J122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109</v>
      </c>
      <c r="E97" s="181"/>
      <c r="F97" s="181"/>
      <c r="G97" s="181"/>
      <c r="H97" s="181"/>
      <c r="I97" s="181"/>
      <c r="J97" s="182">
        <f>J123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110</v>
      </c>
      <c r="E98" s="187"/>
      <c r="F98" s="187"/>
      <c r="G98" s="187"/>
      <c r="H98" s="187"/>
      <c r="I98" s="187"/>
      <c r="J98" s="188">
        <f>J124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111</v>
      </c>
      <c r="E99" s="187"/>
      <c r="F99" s="187"/>
      <c r="G99" s="187"/>
      <c r="H99" s="187"/>
      <c r="I99" s="187"/>
      <c r="J99" s="188">
        <f>J149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112</v>
      </c>
      <c r="E100" s="187"/>
      <c r="F100" s="187"/>
      <c r="G100" s="187"/>
      <c r="H100" s="187"/>
      <c r="I100" s="187"/>
      <c r="J100" s="188">
        <f>J199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113</v>
      </c>
      <c r="E101" s="187"/>
      <c r="F101" s="187"/>
      <c r="G101" s="187"/>
      <c r="H101" s="187"/>
      <c r="I101" s="187"/>
      <c r="J101" s="188">
        <f>J200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9" customFormat="1" ht="24.96" customHeight="1">
      <c r="A102" s="9"/>
      <c r="B102" s="178"/>
      <c r="C102" s="179"/>
      <c r="D102" s="180" t="s">
        <v>114</v>
      </c>
      <c r="E102" s="181"/>
      <c r="F102" s="181"/>
      <c r="G102" s="181"/>
      <c r="H102" s="181"/>
      <c r="I102" s="181"/>
      <c r="J102" s="182">
        <f>J212</f>
        <v>0</v>
      </c>
      <c r="K102" s="179"/>
      <c r="L102" s="183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="2" customFormat="1" ht="21.84" customHeight="1">
      <c r="A103" s="37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6.96" customHeight="1">
      <c r="A104" s="37"/>
      <c r="B104" s="65"/>
      <c r="C104" s="66"/>
      <c r="D104" s="66"/>
      <c r="E104" s="66"/>
      <c r="F104" s="66"/>
      <c r="G104" s="66"/>
      <c r="H104" s="66"/>
      <c r="I104" s="66"/>
      <c r="J104" s="66"/>
      <c r="K104" s="66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8" s="2" customFormat="1" ht="6.96" customHeight="1">
      <c r="A108" s="37"/>
      <c r="B108" s="67"/>
      <c r="C108" s="68"/>
      <c r="D108" s="68"/>
      <c r="E108" s="68"/>
      <c r="F108" s="68"/>
      <c r="G108" s="68"/>
      <c r="H108" s="68"/>
      <c r="I108" s="68"/>
      <c r="J108" s="68"/>
      <c r="K108" s="68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24.96" customHeight="1">
      <c r="A109" s="37"/>
      <c r="B109" s="38"/>
      <c r="C109" s="22" t="s">
        <v>115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16</v>
      </c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6.5" customHeight="1">
      <c r="A112" s="37"/>
      <c r="B112" s="38"/>
      <c r="C112" s="39"/>
      <c r="D112" s="39"/>
      <c r="E112" s="173" t="str">
        <f>E7</f>
        <v>Oprava silnice III/0236 Dobšice</v>
      </c>
      <c r="F112" s="31"/>
      <c r="G112" s="31"/>
      <c r="H112" s="31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102</v>
      </c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30" customHeight="1">
      <c r="A114" s="37"/>
      <c r="B114" s="38"/>
      <c r="C114" s="39"/>
      <c r="D114" s="39"/>
      <c r="E114" s="75" t="str">
        <f>E9</f>
        <v>SO101 - Oprava silnice III/0236 Dobšice, staničení km 2,709-3,130</v>
      </c>
      <c r="F114" s="39"/>
      <c r="G114" s="39"/>
      <c r="H114" s="39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6.96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2" customHeight="1">
      <c r="A116" s="37"/>
      <c r="B116" s="38"/>
      <c r="C116" s="31" t="s">
        <v>20</v>
      </c>
      <c r="D116" s="39"/>
      <c r="E116" s="39"/>
      <c r="F116" s="26" t="str">
        <f>F12</f>
        <v>Dobšice</v>
      </c>
      <c r="G116" s="39"/>
      <c r="H116" s="39"/>
      <c r="I116" s="31" t="s">
        <v>22</v>
      </c>
      <c r="J116" s="78" t="str">
        <f>IF(J12="","",J12)</f>
        <v>17. 11. 2024</v>
      </c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6.96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2" customFormat="1" ht="40.05" customHeight="1">
      <c r="A118" s="37"/>
      <c r="B118" s="38"/>
      <c r="C118" s="31" t="s">
        <v>24</v>
      </c>
      <c r="D118" s="39"/>
      <c r="E118" s="39"/>
      <c r="F118" s="26" t="str">
        <f>E15</f>
        <v>Jihočeský kraj</v>
      </c>
      <c r="G118" s="39"/>
      <c r="H118" s="39"/>
      <c r="I118" s="31" t="s">
        <v>32</v>
      </c>
      <c r="J118" s="35" t="str">
        <f>E21</f>
        <v>Správa a údržba silnic Jihočeského kraje p.o.</v>
      </c>
      <c r="K118" s="39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25.65" customHeight="1">
      <c r="A119" s="37"/>
      <c r="B119" s="38"/>
      <c r="C119" s="31" t="s">
        <v>30</v>
      </c>
      <c r="D119" s="39"/>
      <c r="E119" s="39"/>
      <c r="F119" s="26" t="str">
        <f>IF(E18="","",E18)</f>
        <v>Vyplň údaj</v>
      </c>
      <c r="G119" s="39"/>
      <c r="H119" s="39"/>
      <c r="I119" s="31" t="s">
        <v>37</v>
      </c>
      <c r="J119" s="35" t="str">
        <f>E24</f>
        <v>Petr Nachtigal 606 633 836</v>
      </c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10.32" customHeight="1">
      <c r="A120" s="37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11" customFormat="1" ht="29.28" customHeight="1">
      <c r="A121" s="190"/>
      <c r="B121" s="191"/>
      <c r="C121" s="192" t="s">
        <v>116</v>
      </c>
      <c r="D121" s="193" t="s">
        <v>66</v>
      </c>
      <c r="E121" s="193" t="s">
        <v>62</v>
      </c>
      <c r="F121" s="193" t="s">
        <v>63</v>
      </c>
      <c r="G121" s="193" t="s">
        <v>117</v>
      </c>
      <c r="H121" s="193" t="s">
        <v>118</v>
      </c>
      <c r="I121" s="193" t="s">
        <v>119</v>
      </c>
      <c r="J121" s="193" t="s">
        <v>106</v>
      </c>
      <c r="K121" s="194" t="s">
        <v>120</v>
      </c>
      <c r="L121" s="195"/>
      <c r="M121" s="99" t="s">
        <v>1</v>
      </c>
      <c r="N121" s="100" t="s">
        <v>45</v>
      </c>
      <c r="O121" s="100" t="s">
        <v>121</v>
      </c>
      <c r="P121" s="100" t="s">
        <v>122</v>
      </c>
      <c r="Q121" s="100" t="s">
        <v>123</v>
      </c>
      <c r="R121" s="100" t="s">
        <v>124</v>
      </c>
      <c r="S121" s="100" t="s">
        <v>125</v>
      </c>
      <c r="T121" s="101" t="s">
        <v>126</v>
      </c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</row>
    <row r="122" s="2" customFormat="1" ht="22.8" customHeight="1">
      <c r="A122" s="37"/>
      <c r="B122" s="38"/>
      <c r="C122" s="106" t="s">
        <v>127</v>
      </c>
      <c r="D122" s="39"/>
      <c r="E122" s="39"/>
      <c r="F122" s="39"/>
      <c r="G122" s="39"/>
      <c r="H122" s="39"/>
      <c r="I122" s="39"/>
      <c r="J122" s="196">
        <f>BK122</f>
        <v>0</v>
      </c>
      <c r="K122" s="39"/>
      <c r="L122" s="43"/>
      <c r="M122" s="102"/>
      <c r="N122" s="197"/>
      <c r="O122" s="103"/>
      <c r="P122" s="198">
        <f>P123+P212</f>
        <v>0</v>
      </c>
      <c r="Q122" s="103"/>
      <c r="R122" s="198">
        <f>R123+R212</f>
        <v>0</v>
      </c>
      <c r="S122" s="103"/>
      <c r="T122" s="199">
        <f>T123+T212</f>
        <v>0</v>
      </c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T122" s="16" t="s">
        <v>80</v>
      </c>
      <c r="AU122" s="16" t="s">
        <v>108</v>
      </c>
      <c r="BK122" s="200">
        <f>BK123+BK212</f>
        <v>0</v>
      </c>
    </row>
    <row r="123" s="12" customFormat="1" ht="25.92" customHeight="1">
      <c r="A123" s="12"/>
      <c r="B123" s="201"/>
      <c r="C123" s="202"/>
      <c r="D123" s="203" t="s">
        <v>80</v>
      </c>
      <c r="E123" s="204" t="s">
        <v>128</v>
      </c>
      <c r="F123" s="204" t="s">
        <v>129</v>
      </c>
      <c r="G123" s="202"/>
      <c r="H123" s="202"/>
      <c r="I123" s="205"/>
      <c r="J123" s="206">
        <f>BK123</f>
        <v>0</v>
      </c>
      <c r="K123" s="202"/>
      <c r="L123" s="207"/>
      <c r="M123" s="208"/>
      <c r="N123" s="209"/>
      <c r="O123" s="209"/>
      <c r="P123" s="210">
        <f>P124+P149+P199+P200</f>
        <v>0</v>
      </c>
      <c r="Q123" s="209"/>
      <c r="R123" s="210">
        <f>R124+R149+R199+R200</f>
        <v>0</v>
      </c>
      <c r="S123" s="209"/>
      <c r="T123" s="211">
        <f>T124+T149+T199+T200</f>
        <v>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12" t="s">
        <v>89</v>
      </c>
      <c r="AT123" s="213" t="s">
        <v>80</v>
      </c>
      <c r="AU123" s="213" t="s">
        <v>81</v>
      </c>
      <c r="AY123" s="212" t="s">
        <v>130</v>
      </c>
      <c r="BK123" s="214">
        <f>BK124+BK149+BK199+BK200</f>
        <v>0</v>
      </c>
    </row>
    <row r="124" s="12" customFormat="1" ht="22.8" customHeight="1">
      <c r="A124" s="12"/>
      <c r="B124" s="201"/>
      <c r="C124" s="202"/>
      <c r="D124" s="203" t="s">
        <v>80</v>
      </c>
      <c r="E124" s="215" t="s">
        <v>89</v>
      </c>
      <c r="F124" s="215" t="s">
        <v>131</v>
      </c>
      <c r="G124" s="202"/>
      <c r="H124" s="202"/>
      <c r="I124" s="205"/>
      <c r="J124" s="216">
        <f>BK124</f>
        <v>0</v>
      </c>
      <c r="K124" s="202"/>
      <c r="L124" s="207"/>
      <c r="M124" s="208"/>
      <c r="N124" s="209"/>
      <c r="O124" s="209"/>
      <c r="P124" s="210">
        <f>SUM(P125:P148)</f>
        <v>0</v>
      </c>
      <c r="Q124" s="209"/>
      <c r="R124" s="210">
        <f>SUM(R125:R148)</f>
        <v>0</v>
      </c>
      <c r="S124" s="209"/>
      <c r="T124" s="211">
        <f>SUM(T125:T148)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2" t="s">
        <v>89</v>
      </c>
      <c r="AT124" s="213" t="s">
        <v>80</v>
      </c>
      <c r="AU124" s="213" t="s">
        <v>89</v>
      </c>
      <c r="AY124" s="212" t="s">
        <v>130</v>
      </c>
      <c r="BK124" s="214">
        <f>SUM(BK125:BK148)</f>
        <v>0</v>
      </c>
    </row>
    <row r="125" s="2" customFormat="1" ht="24.15" customHeight="1">
      <c r="A125" s="37"/>
      <c r="B125" s="38"/>
      <c r="C125" s="217" t="s">
        <v>89</v>
      </c>
      <c r="D125" s="217" t="s">
        <v>132</v>
      </c>
      <c r="E125" s="218" t="s">
        <v>133</v>
      </c>
      <c r="F125" s="219" t="s">
        <v>134</v>
      </c>
      <c r="G125" s="220" t="s">
        <v>135</v>
      </c>
      <c r="H125" s="221">
        <v>1.3999999999999999</v>
      </c>
      <c r="I125" s="222"/>
      <c r="J125" s="223">
        <f>ROUND(I125*H125,2)</f>
        <v>0</v>
      </c>
      <c r="K125" s="219" t="s">
        <v>136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137</v>
      </c>
      <c r="AT125" s="228" t="s">
        <v>132</v>
      </c>
      <c r="AU125" s="228" t="s">
        <v>91</v>
      </c>
      <c r="AY125" s="16" t="s">
        <v>130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137</v>
      </c>
      <c r="BM125" s="228" t="s">
        <v>138</v>
      </c>
    </row>
    <row r="126" s="2" customFormat="1">
      <c r="A126" s="37"/>
      <c r="B126" s="38"/>
      <c r="C126" s="39"/>
      <c r="D126" s="230" t="s">
        <v>139</v>
      </c>
      <c r="E126" s="39"/>
      <c r="F126" s="231" t="s">
        <v>134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139</v>
      </c>
      <c r="AU126" s="16" t="s">
        <v>91</v>
      </c>
    </row>
    <row r="127" s="2" customFormat="1">
      <c r="A127" s="37"/>
      <c r="B127" s="38"/>
      <c r="C127" s="39"/>
      <c r="D127" s="230" t="s">
        <v>140</v>
      </c>
      <c r="E127" s="39"/>
      <c r="F127" s="235" t="s">
        <v>141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140</v>
      </c>
      <c r="AU127" s="16" t="s">
        <v>91</v>
      </c>
    </row>
    <row r="128" s="13" customFormat="1">
      <c r="A128" s="13"/>
      <c r="B128" s="236"/>
      <c r="C128" s="237"/>
      <c r="D128" s="230" t="s">
        <v>142</v>
      </c>
      <c r="E128" s="238" t="s">
        <v>1</v>
      </c>
      <c r="F128" s="239" t="s">
        <v>143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142</v>
      </c>
      <c r="AU128" s="245" t="s">
        <v>91</v>
      </c>
      <c r="AV128" s="13" t="s">
        <v>89</v>
      </c>
      <c r="AW128" s="13" t="s">
        <v>36</v>
      </c>
      <c r="AX128" s="13" t="s">
        <v>81</v>
      </c>
      <c r="AY128" s="245" t="s">
        <v>130</v>
      </c>
    </row>
    <row r="129" s="13" customFormat="1">
      <c r="A129" s="13"/>
      <c r="B129" s="236"/>
      <c r="C129" s="237"/>
      <c r="D129" s="230" t="s">
        <v>142</v>
      </c>
      <c r="E129" s="238" t="s">
        <v>1</v>
      </c>
      <c r="F129" s="239" t="s">
        <v>144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142</v>
      </c>
      <c r="AU129" s="245" t="s">
        <v>91</v>
      </c>
      <c r="AV129" s="13" t="s">
        <v>89</v>
      </c>
      <c r="AW129" s="13" t="s">
        <v>36</v>
      </c>
      <c r="AX129" s="13" t="s">
        <v>81</v>
      </c>
      <c r="AY129" s="245" t="s">
        <v>130</v>
      </c>
    </row>
    <row r="130" s="13" customFormat="1">
      <c r="A130" s="13"/>
      <c r="B130" s="236"/>
      <c r="C130" s="237"/>
      <c r="D130" s="230" t="s">
        <v>142</v>
      </c>
      <c r="E130" s="238" t="s">
        <v>1</v>
      </c>
      <c r="F130" s="239" t="s">
        <v>145</v>
      </c>
      <c r="G130" s="237"/>
      <c r="H130" s="238" t="s">
        <v>1</v>
      </c>
      <c r="I130" s="240"/>
      <c r="J130" s="237"/>
      <c r="K130" s="237"/>
      <c r="L130" s="241"/>
      <c r="M130" s="242"/>
      <c r="N130" s="243"/>
      <c r="O130" s="243"/>
      <c r="P130" s="243"/>
      <c r="Q130" s="243"/>
      <c r="R130" s="243"/>
      <c r="S130" s="243"/>
      <c r="T130" s="244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5" t="s">
        <v>142</v>
      </c>
      <c r="AU130" s="245" t="s">
        <v>91</v>
      </c>
      <c r="AV130" s="13" t="s">
        <v>89</v>
      </c>
      <c r="AW130" s="13" t="s">
        <v>36</v>
      </c>
      <c r="AX130" s="13" t="s">
        <v>81</v>
      </c>
      <c r="AY130" s="245" t="s">
        <v>130</v>
      </c>
    </row>
    <row r="131" s="13" customFormat="1">
      <c r="A131" s="13"/>
      <c r="B131" s="236"/>
      <c r="C131" s="237"/>
      <c r="D131" s="230" t="s">
        <v>142</v>
      </c>
      <c r="E131" s="238" t="s">
        <v>1</v>
      </c>
      <c r="F131" s="239" t="s">
        <v>146</v>
      </c>
      <c r="G131" s="237"/>
      <c r="H131" s="238" t="s">
        <v>1</v>
      </c>
      <c r="I131" s="240"/>
      <c r="J131" s="237"/>
      <c r="K131" s="237"/>
      <c r="L131" s="241"/>
      <c r="M131" s="242"/>
      <c r="N131" s="243"/>
      <c r="O131" s="243"/>
      <c r="P131" s="243"/>
      <c r="Q131" s="243"/>
      <c r="R131" s="243"/>
      <c r="S131" s="243"/>
      <c r="T131" s="244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5" t="s">
        <v>142</v>
      </c>
      <c r="AU131" s="245" t="s">
        <v>91</v>
      </c>
      <c r="AV131" s="13" t="s">
        <v>89</v>
      </c>
      <c r="AW131" s="13" t="s">
        <v>36</v>
      </c>
      <c r="AX131" s="13" t="s">
        <v>81</v>
      </c>
      <c r="AY131" s="245" t="s">
        <v>130</v>
      </c>
    </row>
    <row r="132" s="13" customFormat="1">
      <c r="A132" s="13"/>
      <c r="B132" s="236"/>
      <c r="C132" s="237"/>
      <c r="D132" s="230" t="s">
        <v>142</v>
      </c>
      <c r="E132" s="238" t="s">
        <v>1</v>
      </c>
      <c r="F132" s="239" t="s">
        <v>147</v>
      </c>
      <c r="G132" s="237"/>
      <c r="H132" s="238" t="s">
        <v>1</v>
      </c>
      <c r="I132" s="240"/>
      <c r="J132" s="237"/>
      <c r="K132" s="237"/>
      <c r="L132" s="241"/>
      <c r="M132" s="242"/>
      <c r="N132" s="243"/>
      <c r="O132" s="243"/>
      <c r="P132" s="243"/>
      <c r="Q132" s="243"/>
      <c r="R132" s="243"/>
      <c r="S132" s="243"/>
      <c r="T132" s="244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45" t="s">
        <v>142</v>
      </c>
      <c r="AU132" s="245" t="s">
        <v>91</v>
      </c>
      <c r="AV132" s="13" t="s">
        <v>89</v>
      </c>
      <c r="AW132" s="13" t="s">
        <v>36</v>
      </c>
      <c r="AX132" s="13" t="s">
        <v>81</v>
      </c>
      <c r="AY132" s="245" t="s">
        <v>130</v>
      </c>
    </row>
    <row r="133" s="14" customFormat="1">
      <c r="A133" s="14"/>
      <c r="B133" s="246"/>
      <c r="C133" s="247"/>
      <c r="D133" s="230" t="s">
        <v>142</v>
      </c>
      <c r="E133" s="248" t="s">
        <v>1</v>
      </c>
      <c r="F133" s="249" t="s">
        <v>148</v>
      </c>
      <c r="G133" s="247"/>
      <c r="H133" s="250">
        <v>1.3999999999999999</v>
      </c>
      <c r="I133" s="251"/>
      <c r="J133" s="247"/>
      <c r="K133" s="247"/>
      <c r="L133" s="252"/>
      <c r="M133" s="253"/>
      <c r="N133" s="254"/>
      <c r="O133" s="254"/>
      <c r="P133" s="254"/>
      <c r="Q133" s="254"/>
      <c r="R133" s="254"/>
      <c r="S133" s="254"/>
      <c r="T133" s="255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T133" s="256" t="s">
        <v>142</v>
      </c>
      <c r="AU133" s="256" t="s">
        <v>91</v>
      </c>
      <c r="AV133" s="14" t="s">
        <v>91</v>
      </c>
      <c r="AW133" s="14" t="s">
        <v>36</v>
      </c>
      <c r="AX133" s="14" t="s">
        <v>89</v>
      </c>
      <c r="AY133" s="256" t="s">
        <v>130</v>
      </c>
    </row>
    <row r="134" s="2" customFormat="1" ht="16.5" customHeight="1">
      <c r="A134" s="37"/>
      <c r="B134" s="38"/>
      <c r="C134" s="217" t="s">
        <v>149</v>
      </c>
      <c r="D134" s="217" t="s">
        <v>132</v>
      </c>
      <c r="E134" s="218" t="s">
        <v>150</v>
      </c>
      <c r="F134" s="219" t="s">
        <v>151</v>
      </c>
      <c r="G134" s="220" t="s">
        <v>152</v>
      </c>
      <c r="H134" s="221">
        <v>505.19999999999999</v>
      </c>
      <c r="I134" s="222"/>
      <c r="J134" s="223">
        <f>ROUND(I134*H134,2)</f>
        <v>0</v>
      </c>
      <c r="K134" s="219" t="s">
        <v>136</v>
      </c>
      <c r="L134" s="43"/>
      <c r="M134" s="224" t="s">
        <v>1</v>
      </c>
      <c r="N134" s="225" t="s">
        <v>46</v>
      </c>
      <c r="O134" s="90"/>
      <c r="P134" s="226">
        <f>O134*H134</f>
        <v>0</v>
      </c>
      <c r="Q134" s="226">
        <v>0</v>
      </c>
      <c r="R134" s="226">
        <f>Q134*H134</f>
        <v>0</v>
      </c>
      <c r="S134" s="226">
        <v>0</v>
      </c>
      <c r="T134" s="227">
        <f>S134*H134</f>
        <v>0</v>
      </c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R134" s="228" t="s">
        <v>137</v>
      </c>
      <c r="AT134" s="228" t="s">
        <v>132</v>
      </c>
      <c r="AU134" s="228" t="s">
        <v>91</v>
      </c>
      <c r="AY134" s="16" t="s">
        <v>130</v>
      </c>
      <c r="BE134" s="229">
        <f>IF(N134="základní",J134,0)</f>
        <v>0</v>
      </c>
      <c r="BF134" s="229">
        <f>IF(N134="snížená",J134,0)</f>
        <v>0</v>
      </c>
      <c r="BG134" s="229">
        <f>IF(N134="zákl. přenesená",J134,0)</f>
        <v>0</v>
      </c>
      <c r="BH134" s="229">
        <f>IF(N134="sníž. přenesená",J134,0)</f>
        <v>0</v>
      </c>
      <c r="BI134" s="229">
        <f>IF(N134="nulová",J134,0)</f>
        <v>0</v>
      </c>
      <c r="BJ134" s="16" t="s">
        <v>89</v>
      </c>
      <c r="BK134" s="229">
        <f>ROUND(I134*H134,2)</f>
        <v>0</v>
      </c>
      <c r="BL134" s="16" t="s">
        <v>137</v>
      </c>
      <c r="BM134" s="228" t="s">
        <v>153</v>
      </c>
    </row>
    <row r="135" s="2" customFormat="1">
      <c r="A135" s="37"/>
      <c r="B135" s="38"/>
      <c r="C135" s="39"/>
      <c r="D135" s="230" t="s">
        <v>139</v>
      </c>
      <c r="E135" s="39"/>
      <c r="F135" s="231" t="s">
        <v>151</v>
      </c>
      <c r="G135" s="39"/>
      <c r="H135" s="39"/>
      <c r="I135" s="232"/>
      <c r="J135" s="39"/>
      <c r="K135" s="39"/>
      <c r="L135" s="43"/>
      <c r="M135" s="233"/>
      <c r="N135" s="234"/>
      <c r="O135" s="90"/>
      <c r="P135" s="90"/>
      <c r="Q135" s="90"/>
      <c r="R135" s="90"/>
      <c r="S135" s="90"/>
      <c r="T135" s="91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T135" s="16" t="s">
        <v>139</v>
      </c>
      <c r="AU135" s="16" t="s">
        <v>91</v>
      </c>
    </row>
    <row r="136" s="2" customFormat="1">
      <c r="A136" s="37"/>
      <c r="B136" s="38"/>
      <c r="C136" s="39"/>
      <c r="D136" s="230" t="s">
        <v>140</v>
      </c>
      <c r="E136" s="39"/>
      <c r="F136" s="235" t="s">
        <v>154</v>
      </c>
      <c r="G136" s="39"/>
      <c r="H136" s="39"/>
      <c r="I136" s="232"/>
      <c r="J136" s="39"/>
      <c r="K136" s="39"/>
      <c r="L136" s="43"/>
      <c r="M136" s="233"/>
      <c r="N136" s="234"/>
      <c r="O136" s="90"/>
      <c r="P136" s="90"/>
      <c r="Q136" s="90"/>
      <c r="R136" s="90"/>
      <c r="S136" s="90"/>
      <c r="T136" s="91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T136" s="16" t="s">
        <v>140</v>
      </c>
      <c r="AU136" s="16" t="s">
        <v>91</v>
      </c>
    </row>
    <row r="137" s="13" customFormat="1">
      <c r="A137" s="13"/>
      <c r="B137" s="236"/>
      <c r="C137" s="237"/>
      <c r="D137" s="230" t="s">
        <v>142</v>
      </c>
      <c r="E137" s="238" t="s">
        <v>1</v>
      </c>
      <c r="F137" s="239" t="s">
        <v>155</v>
      </c>
      <c r="G137" s="237"/>
      <c r="H137" s="238" t="s">
        <v>1</v>
      </c>
      <c r="I137" s="240"/>
      <c r="J137" s="237"/>
      <c r="K137" s="237"/>
      <c r="L137" s="241"/>
      <c r="M137" s="242"/>
      <c r="N137" s="243"/>
      <c r="O137" s="243"/>
      <c r="P137" s="243"/>
      <c r="Q137" s="243"/>
      <c r="R137" s="243"/>
      <c r="S137" s="243"/>
      <c r="T137" s="244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5" t="s">
        <v>142</v>
      </c>
      <c r="AU137" s="245" t="s">
        <v>91</v>
      </c>
      <c r="AV137" s="13" t="s">
        <v>89</v>
      </c>
      <c r="AW137" s="13" t="s">
        <v>36</v>
      </c>
      <c r="AX137" s="13" t="s">
        <v>81</v>
      </c>
      <c r="AY137" s="245" t="s">
        <v>130</v>
      </c>
    </row>
    <row r="138" s="13" customFormat="1">
      <c r="A138" s="13"/>
      <c r="B138" s="236"/>
      <c r="C138" s="237"/>
      <c r="D138" s="230" t="s">
        <v>142</v>
      </c>
      <c r="E138" s="238" t="s">
        <v>1</v>
      </c>
      <c r="F138" s="239" t="s">
        <v>156</v>
      </c>
      <c r="G138" s="237"/>
      <c r="H138" s="238" t="s">
        <v>1</v>
      </c>
      <c r="I138" s="240"/>
      <c r="J138" s="237"/>
      <c r="K138" s="237"/>
      <c r="L138" s="241"/>
      <c r="M138" s="242"/>
      <c r="N138" s="243"/>
      <c r="O138" s="243"/>
      <c r="P138" s="243"/>
      <c r="Q138" s="243"/>
      <c r="R138" s="243"/>
      <c r="S138" s="243"/>
      <c r="T138" s="244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5" t="s">
        <v>142</v>
      </c>
      <c r="AU138" s="245" t="s">
        <v>91</v>
      </c>
      <c r="AV138" s="13" t="s">
        <v>89</v>
      </c>
      <c r="AW138" s="13" t="s">
        <v>36</v>
      </c>
      <c r="AX138" s="13" t="s">
        <v>81</v>
      </c>
      <c r="AY138" s="245" t="s">
        <v>130</v>
      </c>
    </row>
    <row r="139" s="13" customFormat="1">
      <c r="A139" s="13"/>
      <c r="B139" s="236"/>
      <c r="C139" s="237"/>
      <c r="D139" s="230" t="s">
        <v>142</v>
      </c>
      <c r="E139" s="238" t="s">
        <v>1</v>
      </c>
      <c r="F139" s="239" t="s">
        <v>157</v>
      </c>
      <c r="G139" s="237"/>
      <c r="H139" s="238" t="s">
        <v>1</v>
      </c>
      <c r="I139" s="240"/>
      <c r="J139" s="237"/>
      <c r="K139" s="237"/>
      <c r="L139" s="241"/>
      <c r="M139" s="242"/>
      <c r="N139" s="243"/>
      <c r="O139" s="243"/>
      <c r="P139" s="243"/>
      <c r="Q139" s="243"/>
      <c r="R139" s="243"/>
      <c r="S139" s="243"/>
      <c r="T139" s="244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5" t="s">
        <v>142</v>
      </c>
      <c r="AU139" s="245" t="s">
        <v>91</v>
      </c>
      <c r="AV139" s="13" t="s">
        <v>89</v>
      </c>
      <c r="AW139" s="13" t="s">
        <v>36</v>
      </c>
      <c r="AX139" s="13" t="s">
        <v>81</v>
      </c>
      <c r="AY139" s="245" t="s">
        <v>130</v>
      </c>
    </row>
    <row r="140" s="13" customFormat="1">
      <c r="A140" s="13"/>
      <c r="B140" s="236"/>
      <c r="C140" s="237"/>
      <c r="D140" s="230" t="s">
        <v>142</v>
      </c>
      <c r="E140" s="238" t="s">
        <v>1</v>
      </c>
      <c r="F140" s="239" t="s">
        <v>158</v>
      </c>
      <c r="G140" s="237"/>
      <c r="H140" s="238" t="s">
        <v>1</v>
      </c>
      <c r="I140" s="240"/>
      <c r="J140" s="237"/>
      <c r="K140" s="237"/>
      <c r="L140" s="241"/>
      <c r="M140" s="242"/>
      <c r="N140" s="243"/>
      <c r="O140" s="243"/>
      <c r="P140" s="243"/>
      <c r="Q140" s="243"/>
      <c r="R140" s="243"/>
      <c r="S140" s="243"/>
      <c r="T140" s="244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5" t="s">
        <v>142</v>
      </c>
      <c r="AU140" s="245" t="s">
        <v>91</v>
      </c>
      <c r="AV140" s="13" t="s">
        <v>89</v>
      </c>
      <c r="AW140" s="13" t="s">
        <v>36</v>
      </c>
      <c r="AX140" s="13" t="s">
        <v>81</v>
      </c>
      <c r="AY140" s="245" t="s">
        <v>130</v>
      </c>
    </row>
    <row r="141" s="14" customFormat="1">
      <c r="A141" s="14"/>
      <c r="B141" s="246"/>
      <c r="C141" s="247"/>
      <c r="D141" s="230" t="s">
        <v>142</v>
      </c>
      <c r="E141" s="248" t="s">
        <v>1</v>
      </c>
      <c r="F141" s="249" t="s">
        <v>159</v>
      </c>
      <c r="G141" s="247"/>
      <c r="H141" s="250">
        <v>505.19999999999999</v>
      </c>
      <c r="I141" s="251"/>
      <c r="J141" s="247"/>
      <c r="K141" s="247"/>
      <c r="L141" s="252"/>
      <c r="M141" s="253"/>
      <c r="N141" s="254"/>
      <c r="O141" s="254"/>
      <c r="P141" s="254"/>
      <c r="Q141" s="254"/>
      <c r="R141" s="254"/>
      <c r="S141" s="254"/>
      <c r="T141" s="255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T141" s="256" t="s">
        <v>142</v>
      </c>
      <c r="AU141" s="256" t="s">
        <v>91</v>
      </c>
      <c r="AV141" s="14" t="s">
        <v>91</v>
      </c>
      <c r="AW141" s="14" t="s">
        <v>36</v>
      </c>
      <c r="AX141" s="14" t="s">
        <v>89</v>
      </c>
      <c r="AY141" s="256" t="s">
        <v>130</v>
      </c>
    </row>
    <row r="142" s="2" customFormat="1" ht="16.5" customHeight="1">
      <c r="A142" s="37"/>
      <c r="B142" s="38"/>
      <c r="C142" s="217" t="s">
        <v>160</v>
      </c>
      <c r="D142" s="217" t="s">
        <v>132</v>
      </c>
      <c r="E142" s="218" t="s">
        <v>161</v>
      </c>
      <c r="F142" s="219" t="s">
        <v>162</v>
      </c>
      <c r="G142" s="220" t="s">
        <v>163</v>
      </c>
      <c r="H142" s="221">
        <v>162</v>
      </c>
      <c r="I142" s="222"/>
      <c r="J142" s="223">
        <f>ROUND(I142*H142,2)</f>
        <v>0</v>
      </c>
      <c r="K142" s="219" t="s">
        <v>136</v>
      </c>
      <c r="L142" s="43"/>
      <c r="M142" s="224" t="s">
        <v>1</v>
      </c>
      <c r="N142" s="225" t="s">
        <v>46</v>
      </c>
      <c r="O142" s="90"/>
      <c r="P142" s="226">
        <f>O142*H142</f>
        <v>0</v>
      </c>
      <c r="Q142" s="226">
        <v>0</v>
      </c>
      <c r="R142" s="226">
        <f>Q142*H142</f>
        <v>0</v>
      </c>
      <c r="S142" s="226">
        <v>0</v>
      </c>
      <c r="T142" s="227">
        <f>S142*H142</f>
        <v>0</v>
      </c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R142" s="228" t="s">
        <v>137</v>
      </c>
      <c r="AT142" s="228" t="s">
        <v>132</v>
      </c>
      <c r="AU142" s="228" t="s">
        <v>91</v>
      </c>
      <c r="AY142" s="16" t="s">
        <v>130</v>
      </c>
      <c r="BE142" s="229">
        <f>IF(N142="základní",J142,0)</f>
        <v>0</v>
      </c>
      <c r="BF142" s="229">
        <f>IF(N142="snížená",J142,0)</f>
        <v>0</v>
      </c>
      <c r="BG142" s="229">
        <f>IF(N142="zákl. přenesená",J142,0)</f>
        <v>0</v>
      </c>
      <c r="BH142" s="229">
        <f>IF(N142="sníž. přenesená",J142,0)</f>
        <v>0</v>
      </c>
      <c r="BI142" s="229">
        <f>IF(N142="nulová",J142,0)</f>
        <v>0</v>
      </c>
      <c r="BJ142" s="16" t="s">
        <v>89</v>
      </c>
      <c r="BK142" s="229">
        <f>ROUND(I142*H142,2)</f>
        <v>0</v>
      </c>
      <c r="BL142" s="16" t="s">
        <v>137</v>
      </c>
      <c r="BM142" s="228" t="s">
        <v>164</v>
      </c>
    </row>
    <row r="143" s="2" customFormat="1">
      <c r="A143" s="37"/>
      <c r="B143" s="38"/>
      <c r="C143" s="39"/>
      <c r="D143" s="230" t="s">
        <v>139</v>
      </c>
      <c r="E143" s="39"/>
      <c r="F143" s="231" t="s">
        <v>162</v>
      </c>
      <c r="G143" s="39"/>
      <c r="H143" s="39"/>
      <c r="I143" s="232"/>
      <c r="J143" s="39"/>
      <c r="K143" s="39"/>
      <c r="L143" s="43"/>
      <c r="M143" s="233"/>
      <c r="N143" s="234"/>
      <c r="O143" s="90"/>
      <c r="P143" s="90"/>
      <c r="Q143" s="90"/>
      <c r="R143" s="90"/>
      <c r="S143" s="90"/>
      <c r="T143" s="91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T143" s="16" t="s">
        <v>139</v>
      </c>
      <c r="AU143" s="16" t="s">
        <v>91</v>
      </c>
    </row>
    <row r="144" s="2" customFormat="1">
      <c r="A144" s="37"/>
      <c r="B144" s="38"/>
      <c r="C144" s="39"/>
      <c r="D144" s="230" t="s">
        <v>140</v>
      </c>
      <c r="E144" s="39"/>
      <c r="F144" s="235" t="s">
        <v>154</v>
      </c>
      <c r="G144" s="39"/>
      <c r="H144" s="39"/>
      <c r="I144" s="232"/>
      <c r="J144" s="39"/>
      <c r="K144" s="39"/>
      <c r="L144" s="43"/>
      <c r="M144" s="233"/>
      <c r="N144" s="234"/>
      <c r="O144" s="90"/>
      <c r="P144" s="90"/>
      <c r="Q144" s="90"/>
      <c r="R144" s="90"/>
      <c r="S144" s="90"/>
      <c r="T144" s="91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T144" s="16" t="s">
        <v>140</v>
      </c>
      <c r="AU144" s="16" t="s">
        <v>91</v>
      </c>
    </row>
    <row r="145" s="13" customFormat="1">
      <c r="A145" s="13"/>
      <c r="B145" s="236"/>
      <c r="C145" s="237"/>
      <c r="D145" s="230" t="s">
        <v>142</v>
      </c>
      <c r="E145" s="238" t="s">
        <v>1</v>
      </c>
      <c r="F145" s="239" t="s">
        <v>165</v>
      </c>
      <c r="G145" s="237"/>
      <c r="H145" s="238" t="s">
        <v>1</v>
      </c>
      <c r="I145" s="240"/>
      <c r="J145" s="237"/>
      <c r="K145" s="237"/>
      <c r="L145" s="241"/>
      <c r="M145" s="242"/>
      <c r="N145" s="243"/>
      <c r="O145" s="243"/>
      <c r="P145" s="243"/>
      <c r="Q145" s="243"/>
      <c r="R145" s="243"/>
      <c r="S145" s="243"/>
      <c r="T145" s="244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5" t="s">
        <v>142</v>
      </c>
      <c r="AU145" s="245" t="s">
        <v>91</v>
      </c>
      <c r="AV145" s="13" t="s">
        <v>89</v>
      </c>
      <c r="AW145" s="13" t="s">
        <v>36</v>
      </c>
      <c r="AX145" s="13" t="s">
        <v>81</v>
      </c>
      <c r="AY145" s="245" t="s">
        <v>130</v>
      </c>
    </row>
    <row r="146" s="13" customFormat="1">
      <c r="A146" s="13"/>
      <c r="B146" s="236"/>
      <c r="C146" s="237"/>
      <c r="D146" s="230" t="s">
        <v>142</v>
      </c>
      <c r="E146" s="238" t="s">
        <v>1</v>
      </c>
      <c r="F146" s="239" t="s">
        <v>166</v>
      </c>
      <c r="G146" s="237"/>
      <c r="H146" s="238" t="s">
        <v>1</v>
      </c>
      <c r="I146" s="240"/>
      <c r="J146" s="237"/>
      <c r="K146" s="237"/>
      <c r="L146" s="241"/>
      <c r="M146" s="242"/>
      <c r="N146" s="243"/>
      <c r="O146" s="243"/>
      <c r="P146" s="243"/>
      <c r="Q146" s="243"/>
      <c r="R146" s="243"/>
      <c r="S146" s="243"/>
      <c r="T146" s="244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5" t="s">
        <v>142</v>
      </c>
      <c r="AU146" s="245" t="s">
        <v>91</v>
      </c>
      <c r="AV146" s="13" t="s">
        <v>89</v>
      </c>
      <c r="AW146" s="13" t="s">
        <v>36</v>
      </c>
      <c r="AX146" s="13" t="s">
        <v>81</v>
      </c>
      <c r="AY146" s="245" t="s">
        <v>130</v>
      </c>
    </row>
    <row r="147" s="13" customFormat="1">
      <c r="A147" s="13"/>
      <c r="B147" s="236"/>
      <c r="C147" s="237"/>
      <c r="D147" s="230" t="s">
        <v>142</v>
      </c>
      <c r="E147" s="238" t="s">
        <v>1</v>
      </c>
      <c r="F147" s="239" t="s">
        <v>158</v>
      </c>
      <c r="G147" s="237"/>
      <c r="H147" s="238" t="s">
        <v>1</v>
      </c>
      <c r="I147" s="240"/>
      <c r="J147" s="237"/>
      <c r="K147" s="237"/>
      <c r="L147" s="241"/>
      <c r="M147" s="242"/>
      <c r="N147" s="243"/>
      <c r="O147" s="243"/>
      <c r="P147" s="243"/>
      <c r="Q147" s="243"/>
      <c r="R147" s="243"/>
      <c r="S147" s="243"/>
      <c r="T147" s="244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5" t="s">
        <v>142</v>
      </c>
      <c r="AU147" s="245" t="s">
        <v>91</v>
      </c>
      <c r="AV147" s="13" t="s">
        <v>89</v>
      </c>
      <c r="AW147" s="13" t="s">
        <v>36</v>
      </c>
      <c r="AX147" s="13" t="s">
        <v>81</v>
      </c>
      <c r="AY147" s="245" t="s">
        <v>130</v>
      </c>
    </row>
    <row r="148" s="14" customFormat="1">
      <c r="A148" s="14"/>
      <c r="B148" s="246"/>
      <c r="C148" s="247"/>
      <c r="D148" s="230" t="s">
        <v>142</v>
      </c>
      <c r="E148" s="248" t="s">
        <v>1</v>
      </c>
      <c r="F148" s="249" t="s">
        <v>167</v>
      </c>
      <c r="G148" s="247"/>
      <c r="H148" s="250">
        <v>162</v>
      </c>
      <c r="I148" s="251"/>
      <c r="J148" s="247"/>
      <c r="K148" s="247"/>
      <c r="L148" s="252"/>
      <c r="M148" s="253"/>
      <c r="N148" s="254"/>
      <c r="O148" s="254"/>
      <c r="P148" s="254"/>
      <c r="Q148" s="254"/>
      <c r="R148" s="254"/>
      <c r="S148" s="254"/>
      <c r="T148" s="255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T148" s="256" t="s">
        <v>142</v>
      </c>
      <c r="AU148" s="256" t="s">
        <v>91</v>
      </c>
      <c r="AV148" s="14" t="s">
        <v>91</v>
      </c>
      <c r="AW148" s="14" t="s">
        <v>36</v>
      </c>
      <c r="AX148" s="14" t="s">
        <v>89</v>
      </c>
      <c r="AY148" s="256" t="s">
        <v>130</v>
      </c>
    </row>
    <row r="149" s="12" customFormat="1" ht="22.8" customHeight="1">
      <c r="A149" s="12"/>
      <c r="B149" s="201"/>
      <c r="C149" s="202"/>
      <c r="D149" s="203" t="s">
        <v>80</v>
      </c>
      <c r="E149" s="215" t="s">
        <v>168</v>
      </c>
      <c r="F149" s="215" t="s">
        <v>169</v>
      </c>
      <c r="G149" s="202"/>
      <c r="H149" s="202"/>
      <c r="I149" s="205"/>
      <c r="J149" s="216">
        <f>BK149</f>
        <v>0</v>
      </c>
      <c r="K149" s="202"/>
      <c r="L149" s="207"/>
      <c r="M149" s="208"/>
      <c r="N149" s="209"/>
      <c r="O149" s="209"/>
      <c r="P149" s="210">
        <f>SUM(P150:P198)</f>
        <v>0</v>
      </c>
      <c r="Q149" s="209"/>
      <c r="R149" s="210">
        <f>SUM(R150:R198)</f>
        <v>0</v>
      </c>
      <c r="S149" s="209"/>
      <c r="T149" s="211">
        <f>SUM(T150:T198)</f>
        <v>0</v>
      </c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R149" s="212" t="s">
        <v>89</v>
      </c>
      <c r="AT149" s="213" t="s">
        <v>80</v>
      </c>
      <c r="AU149" s="213" t="s">
        <v>89</v>
      </c>
      <c r="AY149" s="212" t="s">
        <v>130</v>
      </c>
      <c r="BK149" s="214">
        <f>SUM(BK150:BK198)</f>
        <v>0</v>
      </c>
    </row>
    <row r="150" s="2" customFormat="1" ht="24.15" customHeight="1">
      <c r="A150" s="37"/>
      <c r="B150" s="38"/>
      <c r="C150" s="217" t="s">
        <v>137</v>
      </c>
      <c r="D150" s="217" t="s">
        <v>132</v>
      </c>
      <c r="E150" s="218" t="s">
        <v>170</v>
      </c>
      <c r="F150" s="219" t="s">
        <v>171</v>
      </c>
      <c r="G150" s="220" t="s">
        <v>152</v>
      </c>
      <c r="H150" s="221">
        <v>2436</v>
      </c>
      <c r="I150" s="222"/>
      <c r="J150" s="223">
        <f>ROUND(I150*H150,2)</f>
        <v>0</v>
      </c>
      <c r="K150" s="219" t="s">
        <v>136</v>
      </c>
      <c r="L150" s="43"/>
      <c r="M150" s="224" t="s">
        <v>1</v>
      </c>
      <c r="N150" s="225" t="s">
        <v>46</v>
      </c>
      <c r="O150" s="90"/>
      <c r="P150" s="226">
        <f>O150*H150</f>
        <v>0</v>
      </c>
      <c r="Q150" s="226">
        <v>0</v>
      </c>
      <c r="R150" s="226">
        <f>Q150*H150</f>
        <v>0</v>
      </c>
      <c r="S150" s="226">
        <v>0</v>
      </c>
      <c r="T150" s="227">
        <f>S150*H150</f>
        <v>0</v>
      </c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R150" s="228" t="s">
        <v>137</v>
      </c>
      <c r="AT150" s="228" t="s">
        <v>132</v>
      </c>
      <c r="AU150" s="228" t="s">
        <v>91</v>
      </c>
      <c r="AY150" s="16" t="s">
        <v>130</v>
      </c>
      <c r="BE150" s="229">
        <f>IF(N150="základní",J150,0)</f>
        <v>0</v>
      </c>
      <c r="BF150" s="229">
        <f>IF(N150="snížená",J150,0)</f>
        <v>0</v>
      </c>
      <c r="BG150" s="229">
        <f>IF(N150="zákl. přenesená",J150,0)</f>
        <v>0</v>
      </c>
      <c r="BH150" s="229">
        <f>IF(N150="sníž. přenesená",J150,0)</f>
        <v>0</v>
      </c>
      <c r="BI150" s="229">
        <f>IF(N150="nulová",J150,0)</f>
        <v>0</v>
      </c>
      <c r="BJ150" s="16" t="s">
        <v>89</v>
      </c>
      <c r="BK150" s="229">
        <f>ROUND(I150*H150,2)</f>
        <v>0</v>
      </c>
      <c r="BL150" s="16" t="s">
        <v>137</v>
      </c>
      <c r="BM150" s="228" t="s">
        <v>172</v>
      </c>
    </row>
    <row r="151" s="2" customFormat="1">
      <c r="A151" s="37"/>
      <c r="B151" s="38"/>
      <c r="C151" s="39"/>
      <c r="D151" s="230" t="s">
        <v>139</v>
      </c>
      <c r="E151" s="39"/>
      <c r="F151" s="231" t="s">
        <v>171</v>
      </c>
      <c r="G151" s="39"/>
      <c r="H151" s="39"/>
      <c r="I151" s="232"/>
      <c r="J151" s="39"/>
      <c r="K151" s="39"/>
      <c r="L151" s="43"/>
      <c r="M151" s="233"/>
      <c r="N151" s="234"/>
      <c r="O151" s="90"/>
      <c r="P151" s="90"/>
      <c r="Q151" s="90"/>
      <c r="R151" s="90"/>
      <c r="S151" s="90"/>
      <c r="T151" s="91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T151" s="16" t="s">
        <v>139</v>
      </c>
      <c r="AU151" s="16" t="s">
        <v>91</v>
      </c>
    </row>
    <row r="152" s="2" customFormat="1">
      <c r="A152" s="37"/>
      <c r="B152" s="38"/>
      <c r="C152" s="39"/>
      <c r="D152" s="230" t="s">
        <v>140</v>
      </c>
      <c r="E152" s="39"/>
      <c r="F152" s="235" t="s">
        <v>173</v>
      </c>
      <c r="G152" s="39"/>
      <c r="H152" s="39"/>
      <c r="I152" s="232"/>
      <c r="J152" s="39"/>
      <c r="K152" s="39"/>
      <c r="L152" s="43"/>
      <c r="M152" s="233"/>
      <c r="N152" s="234"/>
      <c r="O152" s="90"/>
      <c r="P152" s="90"/>
      <c r="Q152" s="90"/>
      <c r="R152" s="90"/>
      <c r="S152" s="90"/>
      <c r="T152" s="91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T152" s="16" t="s">
        <v>140</v>
      </c>
      <c r="AU152" s="16" t="s">
        <v>91</v>
      </c>
    </row>
    <row r="153" s="13" customFormat="1">
      <c r="A153" s="13"/>
      <c r="B153" s="236"/>
      <c r="C153" s="237"/>
      <c r="D153" s="230" t="s">
        <v>142</v>
      </c>
      <c r="E153" s="238" t="s">
        <v>1</v>
      </c>
      <c r="F153" s="239" t="s">
        <v>174</v>
      </c>
      <c r="G153" s="237"/>
      <c r="H153" s="238" t="s">
        <v>1</v>
      </c>
      <c r="I153" s="240"/>
      <c r="J153" s="237"/>
      <c r="K153" s="237"/>
      <c r="L153" s="241"/>
      <c r="M153" s="242"/>
      <c r="N153" s="243"/>
      <c r="O153" s="243"/>
      <c r="P153" s="243"/>
      <c r="Q153" s="243"/>
      <c r="R153" s="243"/>
      <c r="S153" s="243"/>
      <c r="T153" s="244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5" t="s">
        <v>142</v>
      </c>
      <c r="AU153" s="245" t="s">
        <v>91</v>
      </c>
      <c r="AV153" s="13" t="s">
        <v>89</v>
      </c>
      <c r="AW153" s="13" t="s">
        <v>36</v>
      </c>
      <c r="AX153" s="13" t="s">
        <v>81</v>
      </c>
      <c r="AY153" s="245" t="s">
        <v>130</v>
      </c>
    </row>
    <row r="154" s="13" customFormat="1">
      <c r="A154" s="13"/>
      <c r="B154" s="236"/>
      <c r="C154" s="237"/>
      <c r="D154" s="230" t="s">
        <v>142</v>
      </c>
      <c r="E154" s="238" t="s">
        <v>1</v>
      </c>
      <c r="F154" s="239" t="s">
        <v>175</v>
      </c>
      <c r="G154" s="237"/>
      <c r="H154" s="238" t="s">
        <v>1</v>
      </c>
      <c r="I154" s="240"/>
      <c r="J154" s="237"/>
      <c r="K154" s="237"/>
      <c r="L154" s="241"/>
      <c r="M154" s="242"/>
      <c r="N154" s="243"/>
      <c r="O154" s="243"/>
      <c r="P154" s="243"/>
      <c r="Q154" s="243"/>
      <c r="R154" s="243"/>
      <c r="S154" s="243"/>
      <c r="T154" s="244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5" t="s">
        <v>142</v>
      </c>
      <c r="AU154" s="245" t="s">
        <v>91</v>
      </c>
      <c r="AV154" s="13" t="s">
        <v>89</v>
      </c>
      <c r="AW154" s="13" t="s">
        <v>36</v>
      </c>
      <c r="AX154" s="13" t="s">
        <v>81</v>
      </c>
      <c r="AY154" s="245" t="s">
        <v>130</v>
      </c>
    </row>
    <row r="155" s="13" customFormat="1">
      <c r="A155" s="13"/>
      <c r="B155" s="236"/>
      <c r="C155" s="237"/>
      <c r="D155" s="230" t="s">
        <v>142</v>
      </c>
      <c r="E155" s="238" t="s">
        <v>1</v>
      </c>
      <c r="F155" s="239" t="s">
        <v>176</v>
      </c>
      <c r="G155" s="237"/>
      <c r="H155" s="238" t="s">
        <v>1</v>
      </c>
      <c r="I155" s="240"/>
      <c r="J155" s="237"/>
      <c r="K155" s="237"/>
      <c r="L155" s="241"/>
      <c r="M155" s="242"/>
      <c r="N155" s="243"/>
      <c r="O155" s="243"/>
      <c r="P155" s="243"/>
      <c r="Q155" s="243"/>
      <c r="R155" s="243"/>
      <c r="S155" s="243"/>
      <c r="T155" s="244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5" t="s">
        <v>142</v>
      </c>
      <c r="AU155" s="245" t="s">
        <v>91</v>
      </c>
      <c r="AV155" s="13" t="s">
        <v>89</v>
      </c>
      <c r="AW155" s="13" t="s">
        <v>36</v>
      </c>
      <c r="AX155" s="13" t="s">
        <v>81</v>
      </c>
      <c r="AY155" s="245" t="s">
        <v>130</v>
      </c>
    </row>
    <row r="156" s="13" customFormat="1">
      <c r="A156" s="13"/>
      <c r="B156" s="236"/>
      <c r="C156" s="237"/>
      <c r="D156" s="230" t="s">
        <v>142</v>
      </c>
      <c r="E156" s="238" t="s">
        <v>1</v>
      </c>
      <c r="F156" s="239" t="s">
        <v>177</v>
      </c>
      <c r="G156" s="237"/>
      <c r="H156" s="238" t="s">
        <v>1</v>
      </c>
      <c r="I156" s="240"/>
      <c r="J156" s="237"/>
      <c r="K156" s="237"/>
      <c r="L156" s="241"/>
      <c r="M156" s="242"/>
      <c r="N156" s="243"/>
      <c r="O156" s="243"/>
      <c r="P156" s="243"/>
      <c r="Q156" s="243"/>
      <c r="R156" s="243"/>
      <c r="S156" s="243"/>
      <c r="T156" s="244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5" t="s">
        <v>142</v>
      </c>
      <c r="AU156" s="245" t="s">
        <v>91</v>
      </c>
      <c r="AV156" s="13" t="s">
        <v>89</v>
      </c>
      <c r="AW156" s="13" t="s">
        <v>36</v>
      </c>
      <c r="AX156" s="13" t="s">
        <v>81</v>
      </c>
      <c r="AY156" s="245" t="s">
        <v>130</v>
      </c>
    </row>
    <row r="157" s="13" customFormat="1">
      <c r="A157" s="13"/>
      <c r="B157" s="236"/>
      <c r="C157" s="237"/>
      <c r="D157" s="230" t="s">
        <v>142</v>
      </c>
      <c r="E157" s="238" t="s">
        <v>1</v>
      </c>
      <c r="F157" s="239" t="s">
        <v>178</v>
      </c>
      <c r="G157" s="237"/>
      <c r="H157" s="238" t="s">
        <v>1</v>
      </c>
      <c r="I157" s="240"/>
      <c r="J157" s="237"/>
      <c r="K157" s="237"/>
      <c r="L157" s="241"/>
      <c r="M157" s="242"/>
      <c r="N157" s="243"/>
      <c r="O157" s="243"/>
      <c r="P157" s="243"/>
      <c r="Q157" s="243"/>
      <c r="R157" s="243"/>
      <c r="S157" s="243"/>
      <c r="T157" s="244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T157" s="245" t="s">
        <v>142</v>
      </c>
      <c r="AU157" s="245" t="s">
        <v>91</v>
      </c>
      <c r="AV157" s="13" t="s">
        <v>89</v>
      </c>
      <c r="AW157" s="13" t="s">
        <v>36</v>
      </c>
      <c r="AX157" s="13" t="s">
        <v>81</v>
      </c>
      <c r="AY157" s="245" t="s">
        <v>130</v>
      </c>
    </row>
    <row r="158" s="13" customFormat="1">
      <c r="A158" s="13"/>
      <c r="B158" s="236"/>
      <c r="C158" s="237"/>
      <c r="D158" s="230" t="s">
        <v>142</v>
      </c>
      <c r="E158" s="238" t="s">
        <v>1</v>
      </c>
      <c r="F158" s="239" t="s">
        <v>179</v>
      </c>
      <c r="G158" s="237"/>
      <c r="H158" s="238" t="s">
        <v>1</v>
      </c>
      <c r="I158" s="240"/>
      <c r="J158" s="237"/>
      <c r="K158" s="237"/>
      <c r="L158" s="241"/>
      <c r="M158" s="242"/>
      <c r="N158" s="243"/>
      <c r="O158" s="243"/>
      <c r="P158" s="243"/>
      <c r="Q158" s="243"/>
      <c r="R158" s="243"/>
      <c r="S158" s="243"/>
      <c r="T158" s="244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5" t="s">
        <v>142</v>
      </c>
      <c r="AU158" s="245" t="s">
        <v>91</v>
      </c>
      <c r="AV158" s="13" t="s">
        <v>89</v>
      </c>
      <c r="AW158" s="13" t="s">
        <v>36</v>
      </c>
      <c r="AX158" s="13" t="s">
        <v>81</v>
      </c>
      <c r="AY158" s="245" t="s">
        <v>130</v>
      </c>
    </row>
    <row r="159" s="13" customFormat="1">
      <c r="A159" s="13"/>
      <c r="B159" s="236"/>
      <c r="C159" s="237"/>
      <c r="D159" s="230" t="s">
        <v>142</v>
      </c>
      <c r="E159" s="238" t="s">
        <v>1</v>
      </c>
      <c r="F159" s="239" t="s">
        <v>180</v>
      </c>
      <c r="G159" s="237"/>
      <c r="H159" s="238" t="s">
        <v>1</v>
      </c>
      <c r="I159" s="240"/>
      <c r="J159" s="237"/>
      <c r="K159" s="237"/>
      <c r="L159" s="241"/>
      <c r="M159" s="242"/>
      <c r="N159" s="243"/>
      <c r="O159" s="243"/>
      <c r="P159" s="243"/>
      <c r="Q159" s="243"/>
      <c r="R159" s="243"/>
      <c r="S159" s="243"/>
      <c r="T159" s="244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5" t="s">
        <v>142</v>
      </c>
      <c r="AU159" s="245" t="s">
        <v>91</v>
      </c>
      <c r="AV159" s="13" t="s">
        <v>89</v>
      </c>
      <c r="AW159" s="13" t="s">
        <v>36</v>
      </c>
      <c r="AX159" s="13" t="s">
        <v>81</v>
      </c>
      <c r="AY159" s="245" t="s">
        <v>130</v>
      </c>
    </row>
    <row r="160" s="13" customFormat="1">
      <c r="A160" s="13"/>
      <c r="B160" s="236"/>
      <c r="C160" s="237"/>
      <c r="D160" s="230" t="s">
        <v>142</v>
      </c>
      <c r="E160" s="238" t="s">
        <v>1</v>
      </c>
      <c r="F160" s="239" t="s">
        <v>181</v>
      </c>
      <c r="G160" s="237"/>
      <c r="H160" s="238" t="s">
        <v>1</v>
      </c>
      <c r="I160" s="240"/>
      <c r="J160" s="237"/>
      <c r="K160" s="237"/>
      <c r="L160" s="241"/>
      <c r="M160" s="242"/>
      <c r="N160" s="243"/>
      <c r="O160" s="243"/>
      <c r="P160" s="243"/>
      <c r="Q160" s="243"/>
      <c r="R160" s="243"/>
      <c r="S160" s="243"/>
      <c r="T160" s="244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5" t="s">
        <v>142</v>
      </c>
      <c r="AU160" s="245" t="s">
        <v>91</v>
      </c>
      <c r="AV160" s="13" t="s">
        <v>89</v>
      </c>
      <c r="AW160" s="13" t="s">
        <v>36</v>
      </c>
      <c r="AX160" s="13" t="s">
        <v>81</v>
      </c>
      <c r="AY160" s="245" t="s">
        <v>130</v>
      </c>
    </row>
    <row r="161" s="13" customFormat="1">
      <c r="A161" s="13"/>
      <c r="B161" s="236"/>
      <c r="C161" s="237"/>
      <c r="D161" s="230" t="s">
        <v>142</v>
      </c>
      <c r="E161" s="238" t="s">
        <v>1</v>
      </c>
      <c r="F161" s="239" t="s">
        <v>182</v>
      </c>
      <c r="G161" s="237"/>
      <c r="H161" s="238" t="s">
        <v>1</v>
      </c>
      <c r="I161" s="240"/>
      <c r="J161" s="237"/>
      <c r="K161" s="237"/>
      <c r="L161" s="241"/>
      <c r="M161" s="242"/>
      <c r="N161" s="243"/>
      <c r="O161" s="243"/>
      <c r="P161" s="243"/>
      <c r="Q161" s="243"/>
      <c r="R161" s="243"/>
      <c r="S161" s="243"/>
      <c r="T161" s="244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5" t="s">
        <v>142</v>
      </c>
      <c r="AU161" s="245" t="s">
        <v>91</v>
      </c>
      <c r="AV161" s="13" t="s">
        <v>89</v>
      </c>
      <c r="AW161" s="13" t="s">
        <v>36</v>
      </c>
      <c r="AX161" s="13" t="s">
        <v>81</v>
      </c>
      <c r="AY161" s="245" t="s">
        <v>130</v>
      </c>
    </row>
    <row r="162" s="14" customFormat="1">
      <c r="A162" s="14"/>
      <c r="B162" s="246"/>
      <c r="C162" s="247"/>
      <c r="D162" s="230" t="s">
        <v>142</v>
      </c>
      <c r="E162" s="248" t="s">
        <v>1</v>
      </c>
      <c r="F162" s="249" t="s">
        <v>183</v>
      </c>
      <c r="G162" s="247"/>
      <c r="H162" s="250">
        <v>2436</v>
      </c>
      <c r="I162" s="251"/>
      <c r="J162" s="247"/>
      <c r="K162" s="247"/>
      <c r="L162" s="252"/>
      <c r="M162" s="253"/>
      <c r="N162" s="254"/>
      <c r="O162" s="254"/>
      <c r="P162" s="254"/>
      <c r="Q162" s="254"/>
      <c r="R162" s="254"/>
      <c r="S162" s="254"/>
      <c r="T162" s="255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T162" s="256" t="s">
        <v>142</v>
      </c>
      <c r="AU162" s="256" t="s">
        <v>91</v>
      </c>
      <c r="AV162" s="14" t="s">
        <v>91</v>
      </c>
      <c r="AW162" s="14" t="s">
        <v>36</v>
      </c>
      <c r="AX162" s="14" t="s">
        <v>89</v>
      </c>
      <c r="AY162" s="256" t="s">
        <v>130</v>
      </c>
    </row>
    <row r="163" s="2" customFormat="1" ht="24.15" customHeight="1">
      <c r="A163" s="37"/>
      <c r="B163" s="38"/>
      <c r="C163" s="217" t="s">
        <v>184</v>
      </c>
      <c r="D163" s="217" t="s">
        <v>132</v>
      </c>
      <c r="E163" s="218" t="s">
        <v>185</v>
      </c>
      <c r="F163" s="219" t="s">
        <v>186</v>
      </c>
      <c r="G163" s="220" t="s">
        <v>152</v>
      </c>
      <c r="H163" s="221">
        <v>505.19999999999999</v>
      </c>
      <c r="I163" s="222"/>
      <c r="J163" s="223">
        <f>ROUND(I163*H163,2)</f>
        <v>0</v>
      </c>
      <c r="K163" s="219" t="s">
        <v>136</v>
      </c>
      <c r="L163" s="43"/>
      <c r="M163" s="224" t="s">
        <v>1</v>
      </c>
      <c r="N163" s="225" t="s">
        <v>46</v>
      </c>
      <c r="O163" s="90"/>
      <c r="P163" s="226">
        <f>O163*H163</f>
        <v>0</v>
      </c>
      <c r="Q163" s="226">
        <v>0</v>
      </c>
      <c r="R163" s="226">
        <f>Q163*H163</f>
        <v>0</v>
      </c>
      <c r="S163" s="226">
        <v>0</v>
      </c>
      <c r="T163" s="227">
        <f>S163*H163</f>
        <v>0</v>
      </c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R163" s="228" t="s">
        <v>137</v>
      </c>
      <c r="AT163" s="228" t="s">
        <v>132</v>
      </c>
      <c r="AU163" s="228" t="s">
        <v>91</v>
      </c>
      <c r="AY163" s="16" t="s">
        <v>130</v>
      </c>
      <c r="BE163" s="229">
        <f>IF(N163="základní",J163,0)</f>
        <v>0</v>
      </c>
      <c r="BF163" s="229">
        <f>IF(N163="snížená",J163,0)</f>
        <v>0</v>
      </c>
      <c r="BG163" s="229">
        <f>IF(N163="zákl. přenesená",J163,0)</f>
        <v>0</v>
      </c>
      <c r="BH163" s="229">
        <f>IF(N163="sníž. přenesená",J163,0)</f>
        <v>0</v>
      </c>
      <c r="BI163" s="229">
        <f>IF(N163="nulová",J163,0)</f>
        <v>0</v>
      </c>
      <c r="BJ163" s="16" t="s">
        <v>89</v>
      </c>
      <c r="BK163" s="229">
        <f>ROUND(I163*H163,2)</f>
        <v>0</v>
      </c>
      <c r="BL163" s="16" t="s">
        <v>137</v>
      </c>
      <c r="BM163" s="228" t="s">
        <v>187</v>
      </c>
    </row>
    <row r="164" s="2" customFormat="1">
      <c r="A164" s="37"/>
      <c r="B164" s="38"/>
      <c r="C164" s="39"/>
      <c r="D164" s="230" t="s">
        <v>139</v>
      </c>
      <c r="E164" s="39"/>
      <c r="F164" s="231" t="s">
        <v>186</v>
      </c>
      <c r="G164" s="39"/>
      <c r="H164" s="39"/>
      <c r="I164" s="232"/>
      <c r="J164" s="39"/>
      <c r="K164" s="39"/>
      <c r="L164" s="43"/>
      <c r="M164" s="233"/>
      <c r="N164" s="234"/>
      <c r="O164" s="90"/>
      <c r="P164" s="90"/>
      <c r="Q164" s="90"/>
      <c r="R164" s="90"/>
      <c r="S164" s="90"/>
      <c r="T164" s="91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T164" s="16" t="s">
        <v>139</v>
      </c>
      <c r="AU164" s="16" t="s">
        <v>91</v>
      </c>
    </row>
    <row r="165" s="2" customFormat="1">
      <c r="A165" s="37"/>
      <c r="B165" s="38"/>
      <c r="C165" s="39"/>
      <c r="D165" s="230" t="s">
        <v>140</v>
      </c>
      <c r="E165" s="39"/>
      <c r="F165" s="235" t="s">
        <v>188</v>
      </c>
      <c r="G165" s="39"/>
      <c r="H165" s="39"/>
      <c r="I165" s="232"/>
      <c r="J165" s="39"/>
      <c r="K165" s="39"/>
      <c r="L165" s="43"/>
      <c r="M165" s="233"/>
      <c r="N165" s="234"/>
      <c r="O165" s="90"/>
      <c r="P165" s="90"/>
      <c r="Q165" s="90"/>
      <c r="R165" s="90"/>
      <c r="S165" s="90"/>
      <c r="T165" s="91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T165" s="16" t="s">
        <v>140</v>
      </c>
      <c r="AU165" s="16" t="s">
        <v>91</v>
      </c>
    </row>
    <row r="166" s="13" customFormat="1">
      <c r="A166" s="13"/>
      <c r="B166" s="236"/>
      <c r="C166" s="237"/>
      <c r="D166" s="230" t="s">
        <v>142</v>
      </c>
      <c r="E166" s="238" t="s">
        <v>1</v>
      </c>
      <c r="F166" s="239" t="s">
        <v>189</v>
      </c>
      <c r="G166" s="237"/>
      <c r="H166" s="238" t="s">
        <v>1</v>
      </c>
      <c r="I166" s="240"/>
      <c r="J166" s="237"/>
      <c r="K166" s="237"/>
      <c r="L166" s="241"/>
      <c r="M166" s="242"/>
      <c r="N166" s="243"/>
      <c r="O166" s="243"/>
      <c r="P166" s="243"/>
      <c r="Q166" s="243"/>
      <c r="R166" s="243"/>
      <c r="S166" s="243"/>
      <c r="T166" s="244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5" t="s">
        <v>142</v>
      </c>
      <c r="AU166" s="245" t="s">
        <v>91</v>
      </c>
      <c r="AV166" s="13" t="s">
        <v>89</v>
      </c>
      <c r="AW166" s="13" t="s">
        <v>36</v>
      </c>
      <c r="AX166" s="13" t="s">
        <v>81</v>
      </c>
      <c r="AY166" s="245" t="s">
        <v>130</v>
      </c>
    </row>
    <row r="167" s="13" customFormat="1">
      <c r="A167" s="13"/>
      <c r="B167" s="236"/>
      <c r="C167" s="237"/>
      <c r="D167" s="230" t="s">
        <v>142</v>
      </c>
      <c r="E167" s="238" t="s">
        <v>1</v>
      </c>
      <c r="F167" s="239" t="s">
        <v>156</v>
      </c>
      <c r="G167" s="237"/>
      <c r="H167" s="238" t="s">
        <v>1</v>
      </c>
      <c r="I167" s="240"/>
      <c r="J167" s="237"/>
      <c r="K167" s="237"/>
      <c r="L167" s="241"/>
      <c r="M167" s="242"/>
      <c r="N167" s="243"/>
      <c r="O167" s="243"/>
      <c r="P167" s="243"/>
      <c r="Q167" s="243"/>
      <c r="R167" s="243"/>
      <c r="S167" s="243"/>
      <c r="T167" s="244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5" t="s">
        <v>142</v>
      </c>
      <c r="AU167" s="245" t="s">
        <v>91</v>
      </c>
      <c r="AV167" s="13" t="s">
        <v>89</v>
      </c>
      <c r="AW167" s="13" t="s">
        <v>36</v>
      </c>
      <c r="AX167" s="13" t="s">
        <v>81</v>
      </c>
      <c r="AY167" s="245" t="s">
        <v>130</v>
      </c>
    </row>
    <row r="168" s="13" customFormat="1">
      <c r="A168" s="13"/>
      <c r="B168" s="236"/>
      <c r="C168" s="237"/>
      <c r="D168" s="230" t="s">
        <v>142</v>
      </c>
      <c r="E168" s="238" t="s">
        <v>1</v>
      </c>
      <c r="F168" s="239" t="s">
        <v>157</v>
      </c>
      <c r="G168" s="237"/>
      <c r="H168" s="238" t="s">
        <v>1</v>
      </c>
      <c r="I168" s="240"/>
      <c r="J168" s="237"/>
      <c r="K168" s="237"/>
      <c r="L168" s="241"/>
      <c r="M168" s="242"/>
      <c r="N168" s="243"/>
      <c r="O168" s="243"/>
      <c r="P168" s="243"/>
      <c r="Q168" s="243"/>
      <c r="R168" s="243"/>
      <c r="S168" s="243"/>
      <c r="T168" s="244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5" t="s">
        <v>142</v>
      </c>
      <c r="AU168" s="245" t="s">
        <v>91</v>
      </c>
      <c r="AV168" s="13" t="s">
        <v>89</v>
      </c>
      <c r="AW168" s="13" t="s">
        <v>36</v>
      </c>
      <c r="AX168" s="13" t="s">
        <v>81</v>
      </c>
      <c r="AY168" s="245" t="s">
        <v>130</v>
      </c>
    </row>
    <row r="169" s="13" customFormat="1">
      <c r="A169" s="13"/>
      <c r="B169" s="236"/>
      <c r="C169" s="237"/>
      <c r="D169" s="230" t="s">
        <v>142</v>
      </c>
      <c r="E169" s="238" t="s">
        <v>1</v>
      </c>
      <c r="F169" s="239" t="s">
        <v>158</v>
      </c>
      <c r="G169" s="237"/>
      <c r="H169" s="238" t="s">
        <v>1</v>
      </c>
      <c r="I169" s="240"/>
      <c r="J169" s="237"/>
      <c r="K169" s="237"/>
      <c r="L169" s="241"/>
      <c r="M169" s="242"/>
      <c r="N169" s="243"/>
      <c r="O169" s="243"/>
      <c r="P169" s="243"/>
      <c r="Q169" s="243"/>
      <c r="R169" s="243"/>
      <c r="S169" s="243"/>
      <c r="T169" s="244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5" t="s">
        <v>142</v>
      </c>
      <c r="AU169" s="245" t="s">
        <v>91</v>
      </c>
      <c r="AV169" s="13" t="s">
        <v>89</v>
      </c>
      <c r="AW169" s="13" t="s">
        <v>36</v>
      </c>
      <c r="AX169" s="13" t="s">
        <v>81</v>
      </c>
      <c r="AY169" s="245" t="s">
        <v>130</v>
      </c>
    </row>
    <row r="170" s="14" customFormat="1">
      <c r="A170" s="14"/>
      <c r="B170" s="246"/>
      <c r="C170" s="247"/>
      <c r="D170" s="230" t="s">
        <v>142</v>
      </c>
      <c r="E170" s="248" t="s">
        <v>1</v>
      </c>
      <c r="F170" s="249" t="s">
        <v>159</v>
      </c>
      <c r="G170" s="247"/>
      <c r="H170" s="250">
        <v>505.19999999999999</v>
      </c>
      <c r="I170" s="251"/>
      <c r="J170" s="247"/>
      <c r="K170" s="247"/>
      <c r="L170" s="252"/>
      <c r="M170" s="253"/>
      <c r="N170" s="254"/>
      <c r="O170" s="254"/>
      <c r="P170" s="254"/>
      <c r="Q170" s="254"/>
      <c r="R170" s="254"/>
      <c r="S170" s="254"/>
      <c r="T170" s="255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T170" s="256" t="s">
        <v>142</v>
      </c>
      <c r="AU170" s="256" t="s">
        <v>91</v>
      </c>
      <c r="AV170" s="14" t="s">
        <v>91</v>
      </c>
      <c r="AW170" s="14" t="s">
        <v>36</v>
      </c>
      <c r="AX170" s="14" t="s">
        <v>89</v>
      </c>
      <c r="AY170" s="256" t="s">
        <v>130</v>
      </c>
    </row>
    <row r="171" s="2" customFormat="1" ht="16.5" customHeight="1">
      <c r="A171" s="37"/>
      <c r="B171" s="38"/>
      <c r="C171" s="217" t="s">
        <v>190</v>
      </c>
      <c r="D171" s="217" t="s">
        <v>132</v>
      </c>
      <c r="E171" s="218" t="s">
        <v>191</v>
      </c>
      <c r="F171" s="219" t="s">
        <v>192</v>
      </c>
      <c r="G171" s="220" t="s">
        <v>152</v>
      </c>
      <c r="H171" s="221">
        <v>2483.9000000000001</v>
      </c>
      <c r="I171" s="222"/>
      <c r="J171" s="223">
        <f>ROUND(I171*H171,2)</f>
        <v>0</v>
      </c>
      <c r="K171" s="219" t="s">
        <v>136</v>
      </c>
      <c r="L171" s="43"/>
      <c r="M171" s="224" t="s">
        <v>1</v>
      </c>
      <c r="N171" s="225" t="s">
        <v>46</v>
      </c>
      <c r="O171" s="90"/>
      <c r="P171" s="226">
        <f>O171*H171</f>
        <v>0</v>
      </c>
      <c r="Q171" s="226">
        <v>0</v>
      </c>
      <c r="R171" s="226">
        <f>Q171*H171</f>
        <v>0</v>
      </c>
      <c r="S171" s="226">
        <v>0</v>
      </c>
      <c r="T171" s="227">
        <f>S171*H171</f>
        <v>0</v>
      </c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R171" s="228" t="s">
        <v>137</v>
      </c>
      <c r="AT171" s="228" t="s">
        <v>132</v>
      </c>
      <c r="AU171" s="228" t="s">
        <v>91</v>
      </c>
      <c r="AY171" s="16" t="s">
        <v>130</v>
      </c>
      <c r="BE171" s="229">
        <f>IF(N171="základní",J171,0)</f>
        <v>0</v>
      </c>
      <c r="BF171" s="229">
        <f>IF(N171="snížená",J171,0)</f>
        <v>0</v>
      </c>
      <c r="BG171" s="229">
        <f>IF(N171="zákl. přenesená",J171,0)</f>
        <v>0</v>
      </c>
      <c r="BH171" s="229">
        <f>IF(N171="sníž. přenesená",J171,0)</f>
        <v>0</v>
      </c>
      <c r="BI171" s="229">
        <f>IF(N171="nulová",J171,0)</f>
        <v>0</v>
      </c>
      <c r="BJ171" s="16" t="s">
        <v>89</v>
      </c>
      <c r="BK171" s="229">
        <f>ROUND(I171*H171,2)</f>
        <v>0</v>
      </c>
      <c r="BL171" s="16" t="s">
        <v>137</v>
      </c>
      <c r="BM171" s="228" t="s">
        <v>193</v>
      </c>
    </row>
    <row r="172" s="2" customFormat="1">
      <c r="A172" s="37"/>
      <c r="B172" s="38"/>
      <c r="C172" s="39"/>
      <c r="D172" s="230" t="s">
        <v>139</v>
      </c>
      <c r="E172" s="39"/>
      <c r="F172" s="231" t="s">
        <v>192</v>
      </c>
      <c r="G172" s="39"/>
      <c r="H172" s="39"/>
      <c r="I172" s="232"/>
      <c r="J172" s="39"/>
      <c r="K172" s="39"/>
      <c r="L172" s="43"/>
      <c r="M172" s="233"/>
      <c r="N172" s="234"/>
      <c r="O172" s="90"/>
      <c r="P172" s="90"/>
      <c r="Q172" s="90"/>
      <c r="R172" s="90"/>
      <c r="S172" s="90"/>
      <c r="T172" s="91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T172" s="16" t="s">
        <v>139</v>
      </c>
      <c r="AU172" s="16" t="s">
        <v>91</v>
      </c>
    </row>
    <row r="173" s="2" customFormat="1">
      <c r="A173" s="37"/>
      <c r="B173" s="38"/>
      <c r="C173" s="39"/>
      <c r="D173" s="230" t="s">
        <v>140</v>
      </c>
      <c r="E173" s="39"/>
      <c r="F173" s="235" t="s">
        <v>194</v>
      </c>
      <c r="G173" s="39"/>
      <c r="H173" s="39"/>
      <c r="I173" s="232"/>
      <c r="J173" s="39"/>
      <c r="K173" s="39"/>
      <c r="L173" s="43"/>
      <c r="M173" s="233"/>
      <c r="N173" s="234"/>
      <c r="O173" s="90"/>
      <c r="P173" s="90"/>
      <c r="Q173" s="90"/>
      <c r="R173" s="90"/>
      <c r="S173" s="90"/>
      <c r="T173" s="91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T173" s="16" t="s">
        <v>140</v>
      </c>
      <c r="AU173" s="16" t="s">
        <v>91</v>
      </c>
    </row>
    <row r="174" s="13" customFormat="1">
      <c r="A174" s="13"/>
      <c r="B174" s="236"/>
      <c r="C174" s="237"/>
      <c r="D174" s="230" t="s">
        <v>142</v>
      </c>
      <c r="E174" s="238" t="s">
        <v>1</v>
      </c>
      <c r="F174" s="239" t="s">
        <v>195</v>
      </c>
      <c r="G174" s="237"/>
      <c r="H174" s="238" t="s">
        <v>1</v>
      </c>
      <c r="I174" s="240"/>
      <c r="J174" s="237"/>
      <c r="K174" s="237"/>
      <c r="L174" s="241"/>
      <c r="M174" s="242"/>
      <c r="N174" s="243"/>
      <c r="O174" s="243"/>
      <c r="P174" s="243"/>
      <c r="Q174" s="243"/>
      <c r="R174" s="243"/>
      <c r="S174" s="243"/>
      <c r="T174" s="244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5" t="s">
        <v>142</v>
      </c>
      <c r="AU174" s="245" t="s">
        <v>91</v>
      </c>
      <c r="AV174" s="13" t="s">
        <v>89</v>
      </c>
      <c r="AW174" s="13" t="s">
        <v>36</v>
      </c>
      <c r="AX174" s="13" t="s">
        <v>81</v>
      </c>
      <c r="AY174" s="245" t="s">
        <v>130</v>
      </c>
    </row>
    <row r="175" s="13" customFormat="1">
      <c r="A175" s="13"/>
      <c r="B175" s="236"/>
      <c r="C175" s="237"/>
      <c r="D175" s="230" t="s">
        <v>142</v>
      </c>
      <c r="E175" s="238" t="s">
        <v>1</v>
      </c>
      <c r="F175" s="239" t="s">
        <v>196</v>
      </c>
      <c r="G175" s="237"/>
      <c r="H175" s="238" t="s">
        <v>1</v>
      </c>
      <c r="I175" s="240"/>
      <c r="J175" s="237"/>
      <c r="K175" s="237"/>
      <c r="L175" s="241"/>
      <c r="M175" s="242"/>
      <c r="N175" s="243"/>
      <c r="O175" s="243"/>
      <c r="P175" s="243"/>
      <c r="Q175" s="243"/>
      <c r="R175" s="243"/>
      <c r="S175" s="243"/>
      <c r="T175" s="244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5" t="s">
        <v>142</v>
      </c>
      <c r="AU175" s="245" t="s">
        <v>91</v>
      </c>
      <c r="AV175" s="13" t="s">
        <v>89</v>
      </c>
      <c r="AW175" s="13" t="s">
        <v>36</v>
      </c>
      <c r="AX175" s="13" t="s">
        <v>81</v>
      </c>
      <c r="AY175" s="245" t="s">
        <v>130</v>
      </c>
    </row>
    <row r="176" s="13" customFormat="1">
      <c r="A176" s="13"/>
      <c r="B176" s="236"/>
      <c r="C176" s="237"/>
      <c r="D176" s="230" t="s">
        <v>142</v>
      </c>
      <c r="E176" s="238" t="s">
        <v>1</v>
      </c>
      <c r="F176" s="239" t="s">
        <v>156</v>
      </c>
      <c r="G176" s="237"/>
      <c r="H176" s="238" t="s">
        <v>1</v>
      </c>
      <c r="I176" s="240"/>
      <c r="J176" s="237"/>
      <c r="K176" s="237"/>
      <c r="L176" s="241"/>
      <c r="M176" s="242"/>
      <c r="N176" s="243"/>
      <c r="O176" s="243"/>
      <c r="P176" s="243"/>
      <c r="Q176" s="243"/>
      <c r="R176" s="243"/>
      <c r="S176" s="243"/>
      <c r="T176" s="244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5" t="s">
        <v>142</v>
      </c>
      <c r="AU176" s="245" t="s">
        <v>91</v>
      </c>
      <c r="AV176" s="13" t="s">
        <v>89</v>
      </c>
      <c r="AW176" s="13" t="s">
        <v>36</v>
      </c>
      <c r="AX176" s="13" t="s">
        <v>81</v>
      </c>
      <c r="AY176" s="245" t="s">
        <v>130</v>
      </c>
    </row>
    <row r="177" s="13" customFormat="1">
      <c r="A177" s="13"/>
      <c r="B177" s="236"/>
      <c r="C177" s="237"/>
      <c r="D177" s="230" t="s">
        <v>142</v>
      </c>
      <c r="E177" s="238" t="s">
        <v>1</v>
      </c>
      <c r="F177" s="239" t="s">
        <v>197</v>
      </c>
      <c r="G177" s="237"/>
      <c r="H177" s="238" t="s">
        <v>1</v>
      </c>
      <c r="I177" s="240"/>
      <c r="J177" s="237"/>
      <c r="K177" s="237"/>
      <c r="L177" s="241"/>
      <c r="M177" s="242"/>
      <c r="N177" s="243"/>
      <c r="O177" s="243"/>
      <c r="P177" s="243"/>
      <c r="Q177" s="243"/>
      <c r="R177" s="243"/>
      <c r="S177" s="243"/>
      <c r="T177" s="244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5" t="s">
        <v>142</v>
      </c>
      <c r="AU177" s="245" t="s">
        <v>91</v>
      </c>
      <c r="AV177" s="13" t="s">
        <v>89</v>
      </c>
      <c r="AW177" s="13" t="s">
        <v>36</v>
      </c>
      <c r="AX177" s="13" t="s">
        <v>81</v>
      </c>
      <c r="AY177" s="245" t="s">
        <v>130</v>
      </c>
    </row>
    <row r="178" s="14" customFormat="1">
      <c r="A178" s="14"/>
      <c r="B178" s="246"/>
      <c r="C178" s="247"/>
      <c r="D178" s="230" t="s">
        <v>142</v>
      </c>
      <c r="E178" s="248" t="s">
        <v>1</v>
      </c>
      <c r="F178" s="249" t="s">
        <v>198</v>
      </c>
      <c r="G178" s="247"/>
      <c r="H178" s="250">
        <v>2483.9000000000001</v>
      </c>
      <c r="I178" s="251"/>
      <c r="J178" s="247"/>
      <c r="K178" s="247"/>
      <c r="L178" s="252"/>
      <c r="M178" s="253"/>
      <c r="N178" s="254"/>
      <c r="O178" s="254"/>
      <c r="P178" s="254"/>
      <c r="Q178" s="254"/>
      <c r="R178" s="254"/>
      <c r="S178" s="254"/>
      <c r="T178" s="255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T178" s="256" t="s">
        <v>142</v>
      </c>
      <c r="AU178" s="256" t="s">
        <v>91</v>
      </c>
      <c r="AV178" s="14" t="s">
        <v>91</v>
      </c>
      <c r="AW178" s="14" t="s">
        <v>36</v>
      </c>
      <c r="AX178" s="14" t="s">
        <v>89</v>
      </c>
      <c r="AY178" s="256" t="s">
        <v>130</v>
      </c>
    </row>
    <row r="179" s="2" customFormat="1" ht="24.15" customHeight="1">
      <c r="A179" s="37"/>
      <c r="B179" s="38"/>
      <c r="C179" s="217" t="s">
        <v>199</v>
      </c>
      <c r="D179" s="217" t="s">
        <v>132</v>
      </c>
      <c r="E179" s="218" t="s">
        <v>200</v>
      </c>
      <c r="F179" s="219" t="s">
        <v>201</v>
      </c>
      <c r="G179" s="220" t="s">
        <v>152</v>
      </c>
      <c r="H179" s="221">
        <v>2462.8499999999999</v>
      </c>
      <c r="I179" s="222"/>
      <c r="J179" s="223">
        <f>ROUND(I179*H179,2)</f>
        <v>0</v>
      </c>
      <c r="K179" s="219" t="s">
        <v>136</v>
      </c>
      <c r="L179" s="43"/>
      <c r="M179" s="224" t="s">
        <v>1</v>
      </c>
      <c r="N179" s="225" t="s">
        <v>46</v>
      </c>
      <c r="O179" s="90"/>
      <c r="P179" s="226">
        <f>O179*H179</f>
        <v>0</v>
      </c>
      <c r="Q179" s="226">
        <v>0</v>
      </c>
      <c r="R179" s="226">
        <f>Q179*H179</f>
        <v>0</v>
      </c>
      <c r="S179" s="226">
        <v>0</v>
      </c>
      <c r="T179" s="227">
        <f>S179*H179</f>
        <v>0</v>
      </c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R179" s="228" t="s">
        <v>137</v>
      </c>
      <c r="AT179" s="228" t="s">
        <v>132</v>
      </c>
      <c r="AU179" s="228" t="s">
        <v>91</v>
      </c>
      <c r="AY179" s="16" t="s">
        <v>130</v>
      </c>
      <c r="BE179" s="229">
        <f>IF(N179="základní",J179,0)</f>
        <v>0</v>
      </c>
      <c r="BF179" s="229">
        <f>IF(N179="snížená",J179,0)</f>
        <v>0</v>
      </c>
      <c r="BG179" s="229">
        <f>IF(N179="zákl. přenesená",J179,0)</f>
        <v>0</v>
      </c>
      <c r="BH179" s="229">
        <f>IF(N179="sníž. přenesená",J179,0)</f>
        <v>0</v>
      </c>
      <c r="BI179" s="229">
        <f>IF(N179="nulová",J179,0)</f>
        <v>0</v>
      </c>
      <c r="BJ179" s="16" t="s">
        <v>89</v>
      </c>
      <c r="BK179" s="229">
        <f>ROUND(I179*H179,2)</f>
        <v>0</v>
      </c>
      <c r="BL179" s="16" t="s">
        <v>137</v>
      </c>
      <c r="BM179" s="228" t="s">
        <v>202</v>
      </c>
    </row>
    <row r="180" s="2" customFormat="1">
      <c r="A180" s="37"/>
      <c r="B180" s="38"/>
      <c r="C180" s="39"/>
      <c r="D180" s="230" t="s">
        <v>139</v>
      </c>
      <c r="E180" s="39"/>
      <c r="F180" s="231" t="s">
        <v>201</v>
      </c>
      <c r="G180" s="39"/>
      <c r="H180" s="39"/>
      <c r="I180" s="232"/>
      <c r="J180" s="39"/>
      <c r="K180" s="39"/>
      <c r="L180" s="43"/>
      <c r="M180" s="233"/>
      <c r="N180" s="234"/>
      <c r="O180" s="90"/>
      <c r="P180" s="90"/>
      <c r="Q180" s="90"/>
      <c r="R180" s="90"/>
      <c r="S180" s="90"/>
      <c r="T180" s="91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T180" s="16" t="s">
        <v>139</v>
      </c>
      <c r="AU180" s="16" t="s">
        <v>91</v>
      </c>
    </row>
    <row r="181" s="2" customFormat="1">
      <c r="A181" s="37"/>
      <c r="B181" s="38"/>
      <c r="C181" s="39"/>
      <c r="D181" s="230" t="s">
        <v>140</v>
      </c>
      <c r="E181" s="39"/>
      <c r="F181" s="235" t="s">
        <v>203</v>
      </c>
      <c r="G181" s="39"/>
      <c r="H181" s="39"/>
      <c r="I181" s="232"/>
      <c r="J181" s="39"/>
      <c r="K181" s="39"/>
      <c r="L181" s="43"/>
      <c r="M181" s="233"/>
      <c r="N181" s="234"/>
      <c r="O181" s="90"/>
      <c r="P181" s="90"/>
      <c r="Q181" s="90"/>
      <c r="R181" s="90"/>
      <c r="S181" s="90"/>
      <c r="T181" s="91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T181" s="16" t="s">
        <v>140</v>
      </c>
      <c r="AU181" s="16" t="s">
        <v>91</v>
      </c>
    </row>
    <row r="182" s="13" customFormat="1">
      <c r="A182" s="13"/>
      <c r="B182" s="236"/>
      <c r="C182" s="237"/>
      <c r="D182" s="230" t="s">
        <v>142</v>
      </c>
      <c r="E182" s="238" t="s">
        <v>1</v>
      </c>
      <c r="F182" s="239" t="s">
        <v>204</v>
      </c>
      <c r="G182" s="237"/>
      <c r="H182" s="238" t="s">
        <v>1</v>
      </c>
      <c r="I182" s="240"/>
      <c r="J182" s="237"/>
      <c r="K182" s="237"/>
      <c r="L182" s="241"/>
      <c r="M182" s="242"/>
      <c r="N182" s="243"/>
      <c r="O182" s="243"/>
      <c r="P182" s="243"/>
      <c r="Q182" s="243"/>
      <c r="R182" s="243"/>
      <c r="S182" s="243"/>
      <c r="T182" s="244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5" t="s">
        <v>142</v>
      </c>
      <c r="AU182" s="245" t="s">
        <v>91</v>
      </c>
      <c r="AV182" s="13" t="s">
        <v>89</v>
      </c>
      <c r="AW182" s="13" t="s">
        <v>36</v>
      </c>
      <c r="AX182" s="13" t="s">
        <v>81</v>
      </c>
      <c r="AY182" s="245" t="s">
        <v>130</v>
      </c>
    </row>
    <row r="183" s="13" customFormat="1">
      <c r="A183" s="13"/>
      <c r="B183" s="236"/>
      <c r="C183" s="237"/>
      <c r="D183" s="230" t="s">
        <v>142</v>
      </c>
      <c r="E183" s="238" t="s">
        <v>1</v>
      </c>
      <c r="F183" s="239" t="s">
        <v>205</v>
      </c>
      <c r="G183" s="237"/>
      <c r="H183" s="238" t="s">
        <v>1</v>
      </c>
      <c r="I183" s="240"/>
      <c r="J183" s="237"/>
      <c r="K183" s="237"/>
      <c r="L183" s="241"/>
      <c r="M183" s="242"/>
      <c r="N183" s="243"/>
      <c r="O183" s="243"/>
      <c r="P183" s="243"/>
      <c r="Q183" s="243"/>
      <c r="R183" s="243"/>
      <c r="S183" s="243"/>
      <c r="T183" s="244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5" t="s">
        <v>142</v>
      </c>
      <c r="AU183" s="245" t="s">
        <v>91</v>
      </c>
      <c r="AV183" s="13" t="s">
        <v>89</v>
      </c>
      <c r="AW183" s="13" t="s">
        <v>36</v>
      </c>
      <c r="AX183" s="13" t="s">
        <v>81</v>
      </c>
      <c r="AY183" s="245" t="s">
        <v>130</v>
      </c>
    </row>
    <row r="184" s="13" customFormat="1">
      <c r="A184" s="13"/>
      <c r="B184" s="236"/>
      <c r="C184" s="237"/>
      <c r="D184" s="230" t="s">
        <v>142</v>
      </c>
      <c r="E184" s="238" t="s">
        <v>1</v>
      </c>
      <c r="F184" s="239" t="s">
        <v>156</v>
      </c>
      <c r="G184" s="237"/>
      <c r="H184" s="238" t="s">
        <v>1</v>
      </c>
      <c r="I184" s="240"/>
      <c r="J184" s="237"/>
      <c r="K184" s="237"/>
      <c r="L184" s="241"/>
      <c r="M184" s="242"/>
      <c r="N184" s="243"/>
      <c r="O184" s="243"/>
      <c r="P184" s="243"/>
      <c r="Q184" s="243"/>
      <c r="R184" s="243"/>
      <c r="S184" s="243"/>
      <c r="T184" s="244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5" t="s">
        <v>142</v>
      </c>
      <c r="AU184" s="245" t="s">
        <v>91</v>
      </c>
      <c r="AV184" s="13" t="s">
        <v>89</v>
      </c>
      <c r="AW184" s="13" t="s">
        <v>36</v>
      </c>
      <c r="AX184" s="13" t="s">
        <v>81</v>
      </c>
      <c r="AY184" s="245" t="s">
        <v>130</v>
      </c>
    </row>
    <row r="185" s="13" customFormat="1">
      <c r="A185" s="13"/>
      <c r="B185" s="236"/>
      <c r="C185" s="237"/>
      <c r="D185" s="230" t="s">
        <v>142</v>
      </c>
      <c r="E185" s="238" t="s">
        <v>1</v>
      </c>
      <c r="F185" s="239" t="s">
        <v>182</v>
      </c>
      <c r="G185" s="237"/>
      <c r="H185" s="238" t="s">
        <v>1</v>
      </c>
      <c r="I185" s="240"/>
      <c r="J185" s="237"/>
      <c r="K185" s="237"/>
      <c r="L185" s="241"/>
      <c r="M185" s="242"/>
      <c r="N185" s="243"/>
      <c r="O185" s="243"/>
      <c r="P185" s="243"/>
      <c r="Q185" s="243"/>
      <c r="R185" s="243"/>
      <c r="S185" s="243"/>
      <c r="T185" s="244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5" t="s">
        <v>142</v>
      </c>
      <c r="AU185" s="245" t="s">
        <v>91</v>
      </c>
      <c r="AV185" s="13" t="s">
        <v>89</v>
      </c>
      <c r="AW185" s="13" t="s">
        <v>36</v>
      </c>
      <c r="AX185" s="13" t="s">
        <v>81</v>
      </c>
      <c r="AY185" s="245" t="s">
        <v>130</v>
      </c>
    </row>
    <row r="186" s="13" customFormat="1">
      <c r="A186" s="13"/>
      <c r="B186" s="236"/>
      <c r="C186" s="237"/>
      <c r="D186" s="230" t="s">
        <v>142</v>
      </c>
      <c r="E186" s="238" t="s">
        <v>1</v>
      </c>
      <c r="F186" s="239" t="s">
        <v>156</v>
      </c>
      <c r="G186" s="237"/>
      <c r="H186" s="238" t="s">
        <v>1</v>
      </c>
      <c r="I186" s="240"/>
      <c r="J186" s="237"/>
      <c r="K186" s="237"/>
      <c r="L186" s="241"/>
      <c r="M186" s="242"/>
      <c r="N186" s="243"/>
      <c r="O186" s="243"/>
      <c r="P186" s="243"/>
      <c r="Q186" s="243"/>
      <c r="R186" s="243"/>
      <c r="S186" s="243"/>
      <c r="T186" s="244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45" t="s">
        <v>142</v>
      </c>
      <c r="AU186" s="245" t="s">
        <v>91</v>
      </c>
      <c r="AV186" s="13" t="s">
        <v>89</v>
      </c>
      <c r="AW186" s="13" t="s">
        <v>36</v>
      </c>
      <c r="AX186" s="13" t="s">
        <v>81</v>
      </c>
      <c r="AY186" s="245" t="s">
        <v>130</v>
      </c>
    </row>
    <row r="187" s="13" customFormat="1">
      <c r="A187" s="13"/>
      <c r="B187" s="236"/>
      <c r="C187" s="237"/>
      <c r="D187" s="230" t="s">
        <v>142</v>
      </c>
      <c r="E187" s="238" t="s">
        <v>1</v>
      </c>
      <c r="F187" s="239" t="s">
        <v>206</v>
      </c>
      <c r="G187" s="237"/>
      <c r="H187" s="238" t="s">
        <v>1</v>
      </c>
      <c r="I187" s="240"/>
      <c r="J187" s="237"/>
      <c r="K187" s="237"/>
      <c r="L187" s="241"/>
      <c r="M187" s="242"/>
      <c r="N187" s="243"/>
      <c r="O187" s="243"/>
      <c r="P187" s="243"/>
      <c r="Q187" s="243"/>
      <c r="R187" s="243"/>
      <c r="S187" s="243"/>
      <c r="T187" s="244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5" t="s">
        <v>142</v>
      </c>
      <c r="AU187" s="245" t="s">
        <v>91</v>
      </c>
      <c r="AV187" s="13" t="s">
        <v>89</v>
      </c>
      <c r="AW187" s="13" t="s">
        <v>36</v>
      </c>
      <c r="AX187" s="13" t="s">
        <v>81</v>
      </c>
      <c r="AY187" s="245" t="s">
        <v>130</v>
      </c>
    </row>
    <row r="188" s="14" customFormat="1">
      <c r="A188" s="14"/>
      <c r="B188" s="246"/>
      <c r="C188" s="247"/>
      <c r="D188" s="230" t="s">
        <v>142</v>
      </c>
      <c r="E188" s="248" t="s">
        <v>1</v>
      </c>
      <c r="F188" s="249" t="s">
        <v>207</v>
      </c>
      <c r="G188" s="247"/>
      <c r="H188" s="250">
        <v>2462.8499999999999</v>
      </c>
      <c r="I188" s="251"/>
      <c r="J188" s="247"/>
      <c r="K188" s="247"/>
      <c r="L188" s="252"/>
      <c r="M188" s="253"/>
      <c r="N188" s="254"/>
      <c r="O188" s="254"/>
      <c r="P188" s="254"/>
      <c r="Q188" s="254"/>
      <c r="R188" s="254"/>
      <c r="S188" s="254"/>
      <c r="T188" s="255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T188" s="256" t="s">
        <v>142</v>
      </c>
      <c r="AU188" s="256" t="s">
        <v>91</v>
      </c>
      <c r="AV188" s="14" t="s">
        <v>91</v>
      </c>
      <c r="AW188" s="14" t="s">
        <v>36</v>
      </c>
      <c r="AX188" s="14" t="s">
        <v>89</v>
      </c>
      <c r="AY188" s="256" t="s">
        <v>130</v>
      </c>
    </row>
    <row r="189" s="2" customFormat="1" ht="24.15" customHeight="1">
      <c r="A189" s="37"/>
      <c r="B189" s="38"/>
      <c r="C189" s="217" t="s">
        <v>208</v>
      </c>
      <c r="D189" s="217" t="s">
        <v>132</v>
      </c>
      <c r="E189" s="218" t="s">
        <v>209</v>
      </c>
      <c r="F189" s="219" t="s">
        <v>210</v>
      </c>
      <c r="G189" s="220" t="s">
        <v>152</v>
      </c>
      <c r="H189" s="221">
        <v>2501.9749999999999</v>
      </c>
      <c r="I189" s="222"/>
      <c r="J189" s="223">
        <f>ROUND(I189*H189,2)</f>
        <v>0</v>
      </c>
      <c r="K189" s="219" t="s">
        <v>136</v>
      </c>
      <c r="L189" s="43"/>
      <c r="M189" s="224" t="s">
        <v>1</v>
      </c>
      <c r="N189" s="225" t="s">
        <v>46</v>
      </c>
      <c r="O189" s="90"/>
      <c r="P189" s="226">
        <f>O189*H189</f>
        <v>0</v>
      </c>
      <c r="Q189" s="226">
        <v>0</v>
      </c>
      <c r="R189" s="226">
        <f>Q189*H189</f>
        <v>0</v>
      </c>
      <c r="S189" s="226">
        <v>0</v>
      </c>
      <c r="T189" s="227">
        <f>S189*H189</f>
        <v>0</v>
      </c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R189" s="228" t="s">
        <v>137</v>
      </c>
      <c r="AT189" s="228" t="s">
        <v>132</v>
      </c>
      <c r="AU189" s="228" t="s">
        <v>91</v>
      </c>
      <c r="AY189" s="16" t="s">
        <v>130</v>
      </c>
      <c r="BE189" s="229">
        <f>IF(N189="základní",J189,0)</f>
        <v>0</v>
      </c>
      <c r="BF189" s="229">
        <f>IF(N189="snížená",J189,0)</f>
        <v>0</v>
      </c>
      <c r="BG189" s="229">
        <f>IF(N189="zákl. přenesená",J189,0)</f>
        <v>0</v>
      </c>
      <c r="BH189" s="229">
        <f>IF(N189="sníž. přenesená",J189,0)</f>
        <v>0</v>
      </c>
      <c r="BI189" s="229">
        <f>IF(N189="nulová",J189,0)</f>
        <v>0</v>
      </c>
      <c r="BJ189" s="16" t="s">
        <v>89</v>
      </c>
      <c r="BK189" s="229">
        <f>ROUND(I189*H189,2)</f>
        <v>0</v>
      </c>
      <c r="BL189" s="16" t="s">
        <v>137</v>
      </c>
      <c r="BM189" s="228" t="s">
        <v>211</v>
      </c>
    </row>
    <row r="190" s="2" customFormat="1">
      <c r="A190" s="37"/>
      <c r="B190" s="38"/>
      <c r="C190" s="39"/>
      <c r="D190" s="230" t="s">
        <v>139</v>
      </c>
      <c r="E190" s="39"/>
      <c r="F190" s="231" t="s">
        <v>210</v>
      </c>
      <c r="G190" s="39"/>
      <c r="H190" s="39"/>
      <c r="I190" s="232"/>
      <c r="J190" s="39"/>
      <c r="K190" s="39"/>
      <c r="L190" s="43"/>
      <c r="M190" s="233"/>
      <c r="N190" s="234"/>
      <c r="O190" s="90"/>
      <c r="P190" s="90"/>
      <c r="Q190" s="90"/>
      <c r="R190" s="90"/>
      <c r="S190" s="90"/>
      <c r="T190" s="91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T190" s="16" t="s">
        <v>139</v>
      </c>
      <c r="AU190" s="16" t="s">
        <v>91</v>
      </c>
    </row>
    <row r="191" s="2" customFormat="1">
      <c r="A191" s="37"/>
      <c r="B191" s="38"/>
      <c r="C191" s="39"/>
      <c r="D191" s="230" t="s">
        <v>140</v>
      </c>
      <c r="E191" s="39"/>
      <c r="F191" s="235" t="s">
        <v>203</v>
      </c>
      <c r="G191" s="39"/>
      <c r="H191" s="39"/>
      <c r="I191" s="232"/>
      <c r="J191" s="39"/>
      <c r="K191" s="39"/>
      <c r="L191" s="43"/>
      <c r="M191" s="233"/>
      <c r="N191" s="234"/>
      <c r="O191" s="90"/>
      <c r="P191" s="90"/>
      <c r="Q191" s="90"/>
      <c r="R191" s="90"/>
      <c r="S191" s="90"/>
      <c r="T191" s="91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T191" s="16" t="s">
        <v>140</v>
      </c>
      <c r="AU191" s="16" t="s">
        <v>91</v>
      </c>
    </row>
    <row r="192" s="13" customFormat="1">
      <c r="A192" s="13"/>
      <c r="B192" s="236"/>
      <c r="C192" s="237"/>
      <c r="D192" s="230" t="s">
        <v>142</v>
      </c>
      <c r="E192" s="238" t="s">
        <v>1</v>
      </c>
      <c r="F192" s="239" t="s">
        <v>212</v>
      </c>
      <c r="G192" s="237"/>
      <c r="H192" s="238" t="s">
        <v>1</v>
      </c>
      <c r="I192" s="240"/>
      <c r="J192" s="237"/>
      <c r="K192" s="237"/>
      <c r="L192" s="241"/>
      <c r="M192" s="242"/>
      <c r="N192" s="243"/>
      <c r="O192" s="243"/>
      <c r="P192" s="243"/>
      <c r="Q192" s="243"/>
      <c r="R192" s="243"/>
      <c r="S192" s="243"/>
      <c r="T192" s="244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5" t="s">
        <v>142</v>
      </c>
      <c r="AU192" s="245" t="s">
        <v>91</v>
      </c>
      <c r="AV192" s="13" t="s">
        <v>89</v>
      </c>
      <c r="AW192" s="13" t="s">
        <v>36</v>
      </c>
      <c r="AX192" s="13" t="s">
        <v>81</v>
      </c>
      <c r="AY192" s="245" t="s">
        <v>130</v>
      </c>
    </row>
    <row r="193" s="13" customFormat="1">
      <c r="A193" s="13"/>
      <c r="B193" s="236"/>
      <c r="C193" s="237"/>
      <c r="D193" s="230" t="s">
        <v>142</v>
      </c>
      <c r="E193" s="238" t="s">
        <v>1</v>
      </c>
      <c r="F193" s="239" t="s">
        <v>213</v>
      </c>
      <c r="G193" s="237"/>
      <c r="H193" s="238" t="s">
        <v>1</v>
      </c>
      <c r="I193" s="240"/>
      <c r="J193" s="237"/>
      <c r="K193" s="237"/>
      <c r="L193" s="241"/>
      <c r="M193" s="242"/>
      <c r="N193" s="243"/>
      <c r="O193" s="243"/>
      <c r="P193" s="243"/>
      <c r="Q193" s="243"/>
      <c r="R193" s="243"/>
      <c r="S193" s="243"/>
      <c r="T193" s="244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5" t="s">
        <v>142</v>
      </c>
      <c r="AU193" s="245" t="s">
        <v>91</v>
      </c>
      <c r="AV193" s="13" t="s">
        <v>89</v>
      </c>
      <c r="AW193" s="13" t="s">
        <v>36</v>
      </c>
      <c r="AX193" s="13" t="s">
        <v>81</v>
      </c>
      <c r="AY193" s="245" t="s">
        <v>130</v>
      </c>
    </row>
    <row r="194" s="13" customFormat="1">
      <c r="A194" s="13"/>
      <c r="B194" s="236"/>
      <c r="C194" s="237"/>
      <c r="D194" s="230" t="s">
        <v>142</v>
      </c>
      <c r="E194" s="238" t="s">
        <v>1</v>
      </c>
      <c r="F194" s="239" t="s">
        <v>214</v>
      </c>
      <c r="G194" s="237"/>
      <c r="H194" s="238" t="s">
        <v>1</v>
      </c>
      <c r="I194" s="240"/>
      <c r="J194" s="237"/>
      <c r="K194" s="237"/>
      <c r="L194" s="241"/>
      <c r="M194" s="242"/>
      <c r="N194" s="243"/>
      <c r="O194" s="243"/>
      <c r="P194" s="243"/>
      <c r="Q194" s="243"/>
      <c r="R194" s="243"/>
      <c r="S194" s="243"/>
      <c r="T194" s="244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5" t="s">
        <v>142</v>
      </c>
      <c r="AU194" s="245" t="s">
        <v>91</v>
      </c>
      <c r="AV194" s="13" t="s">
        <v>89</v>
      </c>
      <c r="AW194" s="13" t="s">
        <v>36</v>
      </c>
      <c r="AX194" s="13" t="s">
        <v>81</v>
      </c>
      <c r="AY194" s="245" t="s">
        <v>130</v>
      </c>
    </row>
    <row r="195" s="13" customFormat="1">
      <c r="A195" s="13"/>
      <c r="B195" s="236"/>
      <c r="C195" s="237"/>
      <c r="D195" s="230" t="s">
        <v>142</v>
      </c>
      <c r="E195" s="238" t="s">
        <v>1</v>
      </c>
      <c r="F195" s="239" t="s">
        <v>182</v>
      </c>
      <c r="G195" s="237"/>
      <c r="H195" s="238" t="s">
        <v>1</v>
      </c>
      <c r="I195" s="240"/>
      <c r="J195" s="237"/>
      <c r="K195" s="237"/>
      <c r="L195" s="241"/>
      <c r="M195" s="242"/>
      <c r="N195" s="243"/>
      <c r="O195" s="243"/>
      <c r="P195" s="243"/>
      <c r="Q195" s="243"/>
      <c r="R195" s="243"/>
      <c r="S195" s="243"/>
      <c r="T195" s="244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5" t="s">
        <v>142</v>
      </c>
      <c r="AU195" s="245" t="s">
        <v>91</v>
      </c>
      <c r="AV195" s="13" t="s">
        <v>89</v>
      </c>
      <c r="AW195" s="13" t="s">
        <v>36</v>
      </c>
      <c r="AX195" s="13" t="s">
        <v>81</v>
      </c>
      <c r="AY195" s="245" t="s">
        <v>130</v>
      </c>
    </row>
    <row r="196" s="13" customFormat="1">
      <c r="A196" s="13"/>
      <c r="B196" s="236"/>
      <c r="C196" s="237"/>
      <c r="D196" s="230" t="s">
        <v>142</v>
      </c>
      <c r="E196" s="238" t="s">
        <v>1</v>
      </c>
      <c r="F196" s="239" t="s">
        <v>214</v>
      </c>
      <c r="G196" s="237"/>
      <c r="H196" s="238" t="s">
        <v>1</v>
      </c>
      <c r="I196" s="240"/>
      <c r="J196" s="237"/>
      <c r="K196" s="237"/>
      <c r="L196" s="241"/>
      <c r="M196" s="242"/>
      <c r="N196" s="243"/>
      <c r="O196" s="243"/>
      <c r="P196" s="243"/>
      <c r="Q196" s="243"/>
      <c r="R196" s="243"/>
      <c r="S196" s="243"/>
      <c r="T196" s="244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45" t="s">
        <v>142</v>
      </c>
      <c r="AU196" s="245" t="s">
        <v>91</v>
      </c>
      <c r="AV196" s="13" t="s">
        <v>89</v>
      </c>
      <c r="AW196" s="13" t="s">
        <v>36</v>
      </c>
      <c r="AX196" s="13" t="s">
        <v>81</v>
      </c>
      <c r="AY196" s="245" t="s">
        <v>130</v>
      </c>
    </row>
    <row r="197" s="13" customFormat="1">
      <c r="A197" s="13"/>
      <c r="B197" s="236"/>
      <c r="C197" s="237"/>
      <c r="D197" s="230" t="s">
        <v>142</v>
      </c>
      <c r="E197" s="238" t="s">
        <v>1</v>
      </c>
      <c r="F197" s="239" t="s">
        <v>215</v>
      </c>
      <c r="G197" s="237"/>
      <c r="H197" s="238" t="s">
        <v>1</v>
      </c>
      <c r="I197" s="240"/>
      <c r="J197" s="237"/>
      <c r="K197" s="237"/>
      <c r="L197" s="241"/>
      <c r="M197" s="242"/>
      <c r="N197" s="243"/>
      <c r="O197" s="243"/>
      <c r="P197" s="243"/>
      <c r="Q197" s="243"/>
      <c r="R197" s="243"/>
      <c r="S197" s="243"/>
      <c r="T197" s="244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5" t="s">
        <v>142</v>
      </c>
      <c r="AU197" s="245" t="s">
        <v>91</v>
      </c>
      <c r="AV197" s="13" t="s">
        <v>89</v>
      </c>
      <c r="AW197" s="13" t="s">
        <v>36</v>
      </c>
      <c r="AX197" s="13" t="s">
        <v>81</v>
      </c>
      <c r="AY197" s="245" t="s">
        <v>130</v>
      </c>
    </row>
    <row r="198" s="14" customFormat="1">
      <c r="A198" s="14"/>
      <c r="B198" s="246"/>
      <c r="C198" s="247"/>
      <c r="D198" s="230" t="s">
        <v>142</v>
      </c>
      <c r="E198" s="248" t="s">
        <v>1</v>
      </c>
      <c r="F198" s="249" t="s">
        <v>216</v>
      </c>
      <c r="G198" s="247"/>
      <c r="H198" s="250">
        <v>2501.9749999999999</v>
      </c>
      <c r="I198" s="251"/>
      <c r="J198" s="247"/>
      <c r="K198" s="247"/>
      <c r="L198" s="252"/>
      <c r="M198" s="253"/>
      <c r="N198" s="254"/>
      <c r="O198" s="254"/>
      <c r="P198" s="254"/>
      <c r="Q198" s="254"/>
      <c r="R198" s="254"/>
      <c r="S198" s="254"/>
      <c r="T198" s="255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T198" s="256" t="s">
        <v>142</v>
      </c>
      <c r="AU198" s="256" t="s">
        <v>91</v>
      </c>
      <c r="AV198" s="14" t="s">
        <v>91</v>
      </c>
      <c r="AW198" s="14" t="s">
        <v>36</v>
      </c>
      <c r="AX198" s="14" t="s">
        <v>89</v>
      </c>
      <c r="AY198" s="256" t="s">
        <v>130</v>
      </c>
    </row>
    <row r="199" s="12" customFormat="1" ht="22.8" customHeight="1">
      <c r="A199" s="12"/>
      <c r="B199" s="201"/>
      <c r="C199" s="202"/>
      <c r="D199" s="203" t="s">
        <v>80</v>
      </c>
      <c r="E199" s="215" t="s">
        <v>217</v>
      </c>
      <c r="F199" s="215" t="s">
        <v>218</v>
      </c>
      <c r="G199" s="202"/>
      <c r="H199" s="202"/>
      <c r="I199" s="205"/>
      <c r="J199" s="216">
        <f>BK199</f>
        <v>0</v>
      </c>
      <c r="K199" s="202"/>
      <c r="L199" s="207"/>
      <c r="M199" s="208"/>
      <c r="N199" s="209"/>
      <c r="O199" s="209"/>
      <c r="P199" s="210">
        <v>0</v>
      </c>
      <c r="Q199" s="209"/>
      <c r="R199" s="210">
        <v>0</v>
      </c>
      <c r="S199" s="209"/>
      <c r="T199" s="211">
        <v>0</v>
      </c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R199" s="212" t="s">
        <v>89</v>
      </c>
      <c r="AT199" s="213" t="s">
        <v>80</v>
      </c>
      <c r="AU199" s="213" t="s">
        <v>89</v>
      </c>
      <c r="AY199" s="212" t="s">
        <v>130</v>
      </c>
      <c r="BK199" s="214">
        <v>0</v>
      </c>
    </row>
    <row r="200" s="12" customFormat="1" ht="22.8" customHeight="1">
      <c r="A200" s="12"/>
      <c r="B200" s="201"/>
      <c r="C200" s="202"/>
      <c r="D200" s="203" t="s">
        <v>80</v>
      </c>
      <c r="E200" s="215" t="s">
        <v>219</v>
      </c>
      <c r="F200" s="215" t="s">
        <v>220</v>
      </c>
      <c r="G200" s="202"/>
      <c r="H200" s="202"/>
      <c r="I200" s="205"/>
      <c r="J200" s="216">
        <f>BK200</f>
        <v>0</v>
      </c>
      <c r="K200" s="202"/>
      <c r="L200" s="207"/>
      <c r="M200" s="208"/>
      <c r="N200" s="209"/>
      <c r="O200" s="209"/>
      <c r="P200" s="210">
        <f>SUM(P201:P211)</f>
        <v>0</v>
      </c>
      <c r="Q200" s="209"/>
      <c r="R200" s="210">
        <f>SUM(R201:R211)</f>
        <v>0</v>
      </c>
      <c r="S200" s="209"/>
      <c r="T200" s="211">
        <f>SUM(T201:T211)</f>
        <v>0</v>
      </c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R200" s="212" t="s">
        <v>89</v>
      </c>
      <c r="AT200" s="213" t="s">
        <v>80</v>
      </c>
      <c r="AU200" s="213" t="s">
        <v>89</v>
      </c>
      <c r="AY200" s="212" t="s">
        <v>130</v>
      </c>
      <c r="BK200" s="214">
        <f>SUM(BK201:BK211)</f>
        <v>0</v>
      </c>
    </row>
    <row r="201" s="2" customFormat="1" ht="24.15" customHeight="1">
      <c r="A201" s="37"/>
      <c r="B201" s="38"/>
      <c r="C201" s="217" t="s">
        <v>221</v>
      </c>
      <c r="D201" s="217" t="s">
        <v>132</v>
      </c>
      <c r="E201" s="218" t="s">
        <v>222</v>
      </c>
      <c r="F201" s="219" t="s">
        <v>223</v>
      </c>
      <c r="G201" s="220" t="s">
        <v>224</v>
      </c>
      <c r="H201" s="221">
        <v>12</v>
      </c>
      <c r="I201" s="222"/>
      <c r="J201" s="223">
        <f>ROUND(I201*H201,2)</f>
        <v>0</v>
      </c>
      <c r="K201" s="219" t="s">
        <v>136</v>
      </c>
      <c r="L201" s="43"/>
      <c r="M201" s="224" t="s">
        <v>1</v>
      </c>
      <c r="N201" s="225" t="s">
        <v>46</v>
      </c>
      <c r="O201" s="90"/>
      <c r="P201" s="226">
        <f>O201*H201</f>
        <v>0</v>
      </c>
      <c r="Q201" s="226">
        <v>0</v>
      </c>
      <c r="R201" s="226">
        <f>Q201*H201</f>
        <v>0</v>
      </c>
      <c r="S201" s="226">
        <v>0</v>
      </c>
      <c r="T201" s="227">
        <f>S201*H201</f>
        <v>0</v>
      </c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R201" s="228" t="s">
        <v>137</v>
      </c>
      <c r="AT201" s="228" t="s">
        <v>132</v>
      </c>
      <c r="AU201" s="228" t="s">
        <v>91</v>
      </c>
      <c r="AY201" s="16" t="s">
        <v>130</v>
      </c>
      <c r="BE201" s="229">
        <f>IF(N201="základní",J201,0)</f>
        <v>0</v>
      </c>
      <c r="BF201" s="229">
        <f>IF(N201="snížená",J201,0)</f>
        <v>0</v>
      </c>
      <c r="BG201" s="229">
        <f>IF(N201="zákl. přenesená",J201,0)</f>
        <v>0</v>
      </c>
      <c r="BH201" s="229">
        <f>IF(N201="sníž. přenesená",J201,0)</f>
        <v>0</v>
      </c>
      <c r="BI201" s="229">
        <f>IF(N201="nulová",J201,0)</f>
        <v>0</v>
      </c>
      <c r="BJ201" s="16" t="s">
        <v>89</v>
      </c>
      <c r="BK201" s="229">
        <f>ROUND(I201*H201,2)</f>
        <v>0</v>
      </c>
      <c r="BL201" s="16" t="s">
        <v>137</v>
      </c>
      <c r="BM201" s="228" t="s">
        <v>225</v>
      </c>
    </row>
    <row r="202" s="2" customFormat="1">
      <c r="A202" s="37"/>
      <c r="B202" s="38"/>
      <c r="C202" s="39"/>
      <c r="D202" s="230" t="s">
        <v>139</v>
      </c>
      <c r="E202" s="39"/>
      <c r="F202" s="231" t="s">
        <v>223</v>
      </c>
      <c r="G202" s="39"/>
      <c r="H202" s="39"/>
      <c r="I202" s="232"/>
      <c r="J202" s="39"/>
      <c r="K202" s="39"/>
      <c r="L202" s="43"/>
      <c r="M202" s="233"/>
      <c r="N202" s="234"/>
      <c r="O202" s="90"/>
      <c r="P202" s="90"/>
      <c r="Q202" s="90"/>
      <c r="R202" s="90"/>
      <c r="S202" s="90"/>
      <c r="T202" s="91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T202" s="16" t="s">
        <v>139</v>
      </c>
      <c r="AU202" s="16" t="s">
        <v>91</v>
      </c>
    </row>
    <row r="203" s="2" customFormat="1">
      <c r="A203" s="37"/>
      <c r="B203" s="38"/>
      <c r="C203" s="39"/>
      <c r="D203" s="230" t="s">
        <v>140</v>
      </c>
      <c r="E203" s="39"/>
      <c r="F203" s="235" t="s">
        <v>226</v>
      </c>
      <c r="G203" s="39"/>
      <c r="H203" s="39"/>
      <c r="I203" s="232"/>
      <c r="J203" s="39"/>
      <c r="K203" s="39"/>
      <c r="L203" s="43"/>
      <c r="M203" s="233"/>
      <c r="N203" s="234"/>
      <c r="O203" s="90"/>
      <c r="P203" s="90"/>
      <c r="Q203" s="90"/>
      <c r="R203" s="90"/>
      <c r="S203" s="90"/>
      <c r="T203" s="91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T203" s="16" t="s">
        <v>140</v>
      </c>
      <c r="AU203" s="16" t="s">
        <v>91</v>
      </c>
    </row>
    <row r="204" s="13" customFormat="1">
      <c r="A204" s="13"/>
      <c r="B204" s="236"/>
      <c r="C204" s="237"/>
      <c r="D204" s="230" t="s">
        <v>142</v>
      </c>
      <c r="E204" s="238" t="s">
        <v>1</v>
      </c>
      <c r="F204" s="239" t="s">
        <v>227</v>
      </c>
      <c r="G204" s="237"/>
      <c r="H204" s="238" t="s">
        <v>1</v>
      </c>
      <c r="I204" s="240"/>
      <c r="J204" s="237"/>
      <c r="K204" s="237"/>
      <c r="L204" s="241"/>
      <c r="M204" s="242"/>
      <c r="N204" s="243"/>
      <c r="O204" s="243"/>
      <c r="P204" s="243"/>
      <c r="Q204" s="243"/>
      <c r="R204" s="243"/>
      <c r="S204" s="243"/>
      <c r="T204" s="244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45" t="s">
        <v>142</v>
      </c>
      <c r="AU204" s="245" t="s">
        <v>91</v>
      </c>
      <c r="AV204" s="13" t="s">
        <v>89</v>
      </c>
      <c r="AW204" s="13" t="s">
        <v>36</v>
      </c>
      <c r="AX204" s="13" t="s">
        <v>81</v>
      </c>
      <c r="AY204" s="245" t="s">
        <v>130</v>
      </c>
    </row>
    <row r="205" s="14" customFormat="1">
      <c r="A205" s="14"/>
      <c r="B205" s="246"/>
      <c r="C205" s="247"/>
      <c r="D205" s="230" t="s">
        <v>142</v>
      </c>
      <c r="E205" s="248" t="s">
        <v>1</v>
      </c>
      <c r="F205" s="249" t="s">
        <v>8</v>
      </c>
      <c r="G205" s="247"/>
      <c r="H205" s="250">
        <v>12</v>
      </c>
      <c r="I205" s="251"/>
      <c r="J205" s="247"/>
      <c r="K205" s="247"/>
      <c r="L205" s="252"/>
      <c r="M205" s="253"/>
      <c r="N205" s="254"/>
      <c r="O205" s="254"/>
      <c r="P205" s="254"/>
      <c r="Q205" s="254"/>
      <c r="R205" s="254"/>
      <c r="S205" s="254"/>
      <c r="T205" s="255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T205" s="256" t="s">
        <v>142</v>
      </c>
      <c r="AU205" s="256" t="s">
        <v>91</v>
      </c>
      <c r="AV205" s="14" t="s">
        <v>91</v>
      </c>
      <c r="AW205" s="14" t="s">
        <v>36</v>
      </c>
      <c r="AX205" s="14" t="s">
        <v>89</v>
      </c>
      <c r="AY205" s="256" t="s">
        <v>130</v>
      </c>
    </row>
    <row r="206" s="2" customFormat="1" ht="37.8" customHeight="1">
      <c r="A206" s="37"/>
      <c r="B206" s="38"/>
      <c r="C206" s="217" t="s">
        <v>228</v>
      </c>
      <c r="D206" s="217" t="s">
        <v>132</v>
      </c>
      <c r="E206" s="218" t="s">
        <v>229</v>
      </c>
      <c r="F206" s="219" t="s">
        <v>230</v>
      </c>
      <c r="G206" s="220" t="s">
        <v>163</v>
      </c>
      <c r="H206" s="221">
        <v>842</v>
      </c>
      <c r="I206" s="222"/>
      <c r="J206" s="223">
        <f>ROUND(I206*H206,2)</f>
        <v>0</v>
      </c>
      <c r="K206" s="219" t="s">
        <v>136</v>
      </c>
      <c r="L206" s="43"/>
      <c r="M206" s="224" t="s">
        <v>1</v>
      </c>
      <c r="N206" s="225" t="s">
        <v>46</v>
      </c>
      <c r="O206" s="90"/>
      <c r="P206" s="226">
        <f>O206*H206</f>
        <v>0</v>
      </c>
      <c r="Q206" s="226">
        <v>0</v>
      </c>
      <c r="R206" s="226">
        <f>Q206*H206</f>
        <v>0</v>
      </c>
      <c r="S206" s="226">
        <v>0</v>
      </c>
      <c r="T206" s="227">
        <f>S206*H206</f>
        <v>0</v>
      </c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R206" s="228" t="s">
        <v>137</v>
      </c>
      <c r="AT206" s="228" t="s">
        <v>132</v>
      </c>
      <c r="AU206" s="228" t="s">
        <v>91</v>
      </c>
      <c r="AY206" s="16" t="s">
        <v>130</v>
      </c>
      <c r="BE206" s="229">
        <f>IF(N206="základní",J206,0)</f>
        <v>0</v>
      </c>
      <c r="BF206" s="229">
        <f>IF(N206="snížená",J206,0)</f>
        <v>0</v>
      </c>
      <c r="BG206" s="229">
        <f>IF(N206="zákl. přenesená",J206,0)</f>
        <v>0</v>
      </c>
      <c r="BH206" s="229">
        <f>IF(N206="sníž. přenesená",J206,0)</f>
        <v>0</v>
      </c>
      <c r="BI206" s="229">
        <f>IF(N206="nulová",J206,0)</f>
        <v>0</v>
      </c>
      <c r="BJ206" s="16" t="s">
        <v>89</v>
      </c>
      <c r="BK206" s="229">
        <f>ROUND(I206*H206,2)</f>
        <v>0</v>
      </c>
      <c r="BL206" s="16" t="s">
        <v>137</v>
      </c>
      <c r="BM206" s="228" t="s">
        <v>231</v>
      </c>
    </row>
    <row r="207" s="2" customFormat="1">
      <c r="A207" s="37"/>
      <c r="B207" s="38"/>
      <c r="C207" s="39"/>
      <c r="D207" s="230" t="s">
        <v>139</v>
      </c>
      <c r="E207" s="39"/>
      <c r="F207" s="231" t="s">
        <v>232</v>
      </c>
      <c r="G207" s="39"/>
      <c r="H207" s="39"/>
      <c r="I207" s="232"/>
      <c r="J207" s="39"/>
      <c r="K207" s="39"/>
      <c r="L207" s="43"/>
      <c r="M207" s="233"/>
      <c r="N207" s="234"/>
      <c r="O207" s="90"/>
      <c r="P207" s="90"/>
      <c r="Q207" s="90"/>
      <c r="R207" s="90"/>
      <c r="S207" s="90"/>
      <c r="T207" s="91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T207" s="16" t="s">
        <v>139</v>
      </c>
      <c r="AU207" s="16" t="s">
        <v>91</v>
      </c>
    </row>
    <row r="208" s="13" customFormat="1">
      <c r="A208" s="13"/>
      <c r="B208" s="236"/>
      <c r="C208" s="237"/>
      <c r="D208" s="230" t="s">
        <v>142</v>
      </c>
      <c r="E208" s="238" t="s">
        <v>1</v>
      </c>
      <c r="F208" s="239" t="s">
        <v>233</v>
      </c>
      <c r="G208" s="237"/>
      <c r="H208" s="238" t="s">
        <v>1</v>
      </c>
      <c r="I208" s="240"/>
      <c r="J208" s="237"/>
      <c r="K208" s="237"/>
      <c r="L208" s="241"/>
      <c r="M208" s="242"/>
      <c r="N208" s="243"/>
      <c r="O208" s="243"/>
      <c r="P208" s="243"/>
      <c r="Q208" s="243"/>
      <c r="R208" s="243"/>
      <c r="S208" s="243"/>
      <c r="T208" s="244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45" t="s">
        <v>142</v>
      </c>
      <c r="AU208" s="245" t="s">
        <v>91</v>
      </c>
      <c r="AV208" s="13" t="s">
        <v>89</v>
      </c>
      <c r="AW208" s="13" t="s">
        <v>36</v>
      </c>
      <c r="AX208" s="13" t="s">
        <v>81</v>
      </c>
      <c r="AY208" s="245" t="s">
        <v>130</v>
      </c>
    </row>
    <row r="209" s="13" customFormat="1">
      <c r="A209" s="13"/>
      <c r="B209" s="236"/>
      <c r="C209" s="237"/>
      <c r="D209" s="230" t="s">
        <v>142</v>
      </c>
      <c r="E209" s="238" t="s">
        <v>1</v>
      </c>
      <c r="F209" s="239" t="s">
        <v>156</v>
      </c>
      <c r="G209" s="237"/>
      <c r="H209" s="238" t="s">
        <v>1</v>
      </c>
      <c r="I209" s="240"/>
      <c r="J209" s="237"/>
      <c r="K209" s="237"/>
      <c r="L209" s="241"/>
      <c r="M209" s="242"/>
      <c r="N209" s="243"/>
      <c r="O209" s="243"/>
      <c r="P209" s="243"/>
      <c r="Q209" s="243"/>
      <c r="R209" s="243"/>
      <c r="S209" s="243"/>
      <c r="T209" s="244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5" t="s">
        <v>142</v>
      </c>
      <c r="AU209" s="245" t="s">
        <v>91</v>
      </c>
      <c r="AV209" s="13" t="s">
        <v>89</v>
      </c>
      <c r="AW209" s="13" t="s">
        <v>36</v>
      </c>
      <c r="AX209" s="13" t="s">
        <v>81</v>
      </c>
      <c r="AY209" s="245" t="s">
        <v>130</v>
      </c>
    </row>
    <row r="210" s="13" customFormat="1">
      <c r="A210" s="13"/>
      <c r="B210" s="236"/>
      <c r="C210" s="237"/>
      <c r="D210" s="230" t="s">
        <v>142</v>
      </c>
      <c r="E210" s="238" t="s">
        <v>1</v>
      </c>
      <c r="F210" s="239" t="s">
        <v>157</v>
      </c>
      <c r="G210" s="237"/>
      <c r="H210" s="238" t="s">
        <v>1</v>
      </c>
      <c r="I210" s="240"/>
      <c r="J210" s="237"/>
      <c r="K210" s="237"/>
      <c r="L210" s="241"/>
      <c r="M210" s="242"/>
      <c r="N210" s="243"/>
      <c r="O210" s="243"/>
      <c r="P210" s="243"/>
      <c r="Q210" s="243"/>
      <c r="R210" s="243"/>
      <c r="S210" s="243"/>
      <c r="T210" s="244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5" t="s">
        <v>142</v>
      </c>
      <c r="AU210" s="245" t="s">
        <v>91</v>
      </c>
      <c r="AV210" s="13" t="s">
        <v>89</v>
      </c>
      <c r="AW210" s="13" t="s">
        <v>36</v>
      </c>
      <c r="AX210" s="13" t="s">
        <v>81</v>
      </c>
      <c r="AY210" s="245" t="s">
        <v>130</v>
      </c>
    </row>
    <row r="211" s="14" customFormat="1">
      <c r="A211" s="14"/>
      <c r="B211" s="246"/>
      <c r="C211" s="247"/>
      <c r="D211" s="230" t="s">
        <v>142</v>
      </c>
      <c r="E211" s="248" t="s">
        <v>1</v>
      </c>
      <c r="F211" s="249" t="s">
        <v>234</v>
      </c>
      <c r="G211" s="247"/>
      <c r="H211" s="250">
        <v>842</v>
      </c>
      <c r="I211" s="251"/>
      <c r="J211" s="247"/>
      <c r="K211" s="247"/>
      <c r="L211" s="252"/>
      <c r="M211" s="253"/>
      <c r="N211" s="254"/>
      <c r="O211" s="254"/>
      <c r="P211" s="254"/>
      <c r="Q211" s="254"/>
      <c r="R211" s="254"/>
      <c r="S211" s="254"/>
      <c r="T211" s="255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T211" s="256" t="s">
        <v>142</v>
      </c>
      <c r="AU211" s="256" t="s">
        <v>91</v>
      </c>
      <c r="AV211" s="14" t="s">
        <v>91</v>
      </c>
      <c r="AW211" s="14" t="s">
        <v>36</v>
      </c>
      <c r="AX211" s="14" t="s">
        <v>89</v>
      </c>
      <c r="AY211" s="256" t="s">
        <v>130</v>
      </c>
    </row>
    <row r="212" s="12" customFormat="1" ht="25.92" customHeight="1">
      <c r="A212" s="12"/>
      <c r="B212" s="201"/>
      <c r="C212" s="202"/>
      <c r="D212" s="203" t="s">
        <v>80</v>
      </c>
      <c r="E212" s="204" t="s">
        <v>235</v>
      </c>
      <c r="F212" s="204" t="s">
        <v>236</v>
      </c>
      <c r="G212" s="202"/>
      <c r="H212" s="202"/>
      <c r="I212" s="205"/>
      <c r="J212" s="206">
        <f>BK212</f>
        <v>0</v>
      </c>
      <c r="K212" s="202"/>
      <c r="L212" s="207"/>
      <c r="M212" s="208"/>
      <c r="N212" s="209"/>
      <c r="O212" s="209"/>
      <c r="P212" s="210">
        <f>SUM(P213:P223)</f>
        <v>0</v>
      </c>
      <c r="Q212" s="209"/>
      <c r="R212" s="210">
        <f>SUM(R213:R223)</f>
        <v>0</v>
      </c>
      <c r="S212" s="209"/>
      <c r="T212" s="211">
        <f>SUM(T213:T223)</f>
        <v>0</v>
      </c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R212" s="212" t="s">
        <v>137</v>
      </c>
      <c r="AT212" s="213" t="s">
        <v>80</v>
      </c>
      <c r="AU212" s="213" t="s">
        <v>81</v>
      </c>
      <c r="AY212" s="212" t="s">
        <v>130</v>
      </c>
      <c r="BK212" s="214">
        <f>SUM(BK213:BK223)</f>
        <v>0</v>
      </c>
    </row>
    <row r="213" s="2" customFormat="1" ht="24.15" customHeight="1">
      <c r="A213" s="37"/>
      <c r="B213" s="38"/>
      <c r="C213" s="217" t="s">
        <v>237</v>
      </c>
      <c r="D213" s="217" t="s">
        <v>132</v>
      </c>
      <c r="E213" s="218" t="s">
        <v>238</v>
      </c>
      <c r="F213" s="219" t="s">
        <v>239</v>
      </c>
      <c r="G213" s="220" t="s">
        <v>240</v>
      </c>
      <c r="H213" s="221">
        <v>163.83600000000001</v>
      </c>
      <c r="I213" s="222"/>
      <c r="J213" s="223">
        <f>ROUND(I213*H213,2)</f>
        <v>0</v>
      </c>
      <c r="K213" s="219" t="s">
        <v>136</v>
      </c>
      <c r="L213" s="43"/>
      <c r="M213" s="224" t="s">
        <v>1</v>
      </c>
      <c r="N213" s="225" t="s">
        <v>46</v>
      </c>
      <c r="O213" s="90"/>
      <c r="P213" s="226">
        <f>O213*H213</f>
        <v>0</v>
      </c>
      <c r="Q213" s="226">
        <v>0</v>
      </c>
      <c r="R213" s="226">
        <f>Q213*H213</f>
        <v>0</v>
      </c>
      <c r="S213" s="226">
        <v>0</v>
      </c>
      <c r="T213" s="227">
        <f>S213*H213</f>
        <v>0</v>
      </c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R213" s="228" t="s">
        <v>241</v>
      </c>
      <c r="AT213" s="228" t="s">
        <v>132</v>
      </c>
      <c r="AU213" s="228" t="s">
        <v>89</v>
      </c>
      <c r="AY213" s="16" t="s">
        <v>130</v>
      </c>
      <c r="BE213" s="229">
        <f>IF(N213="základní",J213,0)</f>
        <v>0</v>
      </c>
      <c r="BF213" s="229">
        <f>IF(N213="snížená",J213,0)</f>
        <v>0</v>
      </c>
      <c r="BG213" s="229">
        <f>IF(N213="zákl. přenesená",J213,0)</f>
        <v>0</v>
      </c>
      <c r="BH213" s="229">
        <f>IF(N213="sníž. přenesená",J213,0)</f>
        <v>0</v>
      </c>
      <c r="BI213" s="229">
        <f>IF(N213="nulová",J213,0)</f>
        <v>0</v>
      </c>
      <c r="BJ213" s="16" t="s">
        <v>89</v>
      </c>
      <c r="BK213" s="229">
        <f>ROUND(I213*H213,2)</f>
        <v>0</v>
      </c>
      <c r="BL213" s="16" t="s">
        <v>241</v>
      </c>
      <c r="BM213" s="228" t="s">
        <v>242</v>
      </c>
    </row>
    <row r="214" s="2" customFormat="1">
      <c r="A214" s="37"/>
      <c r="B214" s="38"/>
      <c r="C214" s="39"/>
      <c r="D214" s="230" t="s">
        <v>139</v>
      </c>
      <c r="E214" s="39"/>
      <c r="F214" s="231" t="s">
        <v>239</v>
      </c>
      <c r="G214" s="39"/>
      <c r="H214" s="39"/>
      <c r="I214" s="232"/>
      <c r="J214" s="39"/>
      <c r="K214" s="39"/>
      <c r="L214" s="43"/>
      <c r="M214" s="233"/>
      <c r="N214" s="234"/>
      <c r="O214" s="90"/>
      <c r="P214" s="90"/>
      <c r="Q214" s="90"/>
      <c r="R214" s="90"/>
      <c r="S214" s="90"/>
      <c r="T214" s="91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T214" s="16" t="s">
        <v>139</v>
      </c>
      <c r="AU214" s="16" t="s">
        <v>89</v>
      </c>
    </row>
    <row r="215" s="2" customFormat="1">
      <c r="A215" s="37"/>
      <c r="B215" s="38"/>
      <c r="C215" s="39"/>
      <c r="D215" s="230" t="s">
        <v>140</v>
      </c>
      <c r="E215" s="39"/>
      <c r="F215" s="235" t="s">
        <v>243</v>
      </c>
      <c r="G215" s="39"/>
      <c r="H215" s="39"/>
      <c r="I215" s="232"/>
      <c r="J215" s="39"/>
      <c r="K215" s="39"/>
      <c r="L215" s="43"/>
      <c r="M215" s="233"/>
      <c r="N215" s="234"/>
      <c r="O215" s="90"/>
      <c r="P215" s="90"/>
      <c r="Q215" s="90"/>
      <c r="R215" s="90"/>
      <c r="S215" s="90"/>
      <c r="T215" s="91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T215" s="16" t="s">
        <v>140</v>
      </c>
      <c r="AU215" s="16" t="s">
        <v>89</v>
      </c>
    </row>
    <row r="216" s="13" customFormat="1">
      <c r="A216" s="13"/>
      <c r="B216" s="236"/>
      <c r="C216" s="237"/>
      <c r="D216" s="230" t="s">
        <v>142</v>
      </c>
      <c r="E216" s="238" t="s">
        <v>1</v>
      </c>
      <c r="F216" s="239" t="s">
        <v>244</v>
      </c>
      <c r="G216" s="237"/>
      <c r="H216" s="238" t="s">
        <v>1</v>
      </c>
      <c r="I216" s="240"/>
      <c r="J216" s="237"/>
      <c r="K216" s="237"/>
      <c r="L216" s="241"/>
      <c r="M216" s="242"/>
      <c r="N216" s="243"/>
      <c r="O216" s="243"/>
      <c r="P216" s="243"/>
      <c r="Q216" s="243"/>
      <c r="R216" s="243"/>
      <c r="S216" s="243"/>
      <c r="T216" s="244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5" t="s">
        <v>142</v>
      </c>
      <c r="AU216" s="245" t="s">
        <v>89</v>
      </c>
      <c r="AV216" s="13" t="s">
        <v>89</v>
      </c>
      <c r="AW216" s="13" t="s">
        <v>36</v>
      </c>
      <c r="AX216" s="13" t="s">
        <v>81</v>
      </c>
      <c r="AY216" s="245" t="s">
        <v>130</v>
      </c>
    </row>
    <row r="217" s="13" customFormat="1">
      <c r="A217" s="13"/>
      <c r="B217" s="236"/>
      <c r="C217" s="237"/>
      <c r="D217" s="230" t="s">
        <v>142</v>
      </c>
      <c r="E217" s="238" t="s">
        <v>1</v>
      </c>
      <c r="F217" s="239" t="s">
        <v>245</v>
      </c>
      <c r="G217" s="237"/>
      <c r="H217" s="238" t="s">
        <v>1</v>
      </c>
      <c r="I217" s="240"/>
      <c r="J217" s="237"/>
      <c r="K217" s="237"/>
      <c r="L217" s="241"/>
      <c r="M217" s="242"/>
      <c r="N217" s="243"/>
      <c r="O217" s="243"/>
      <c r="P217" s="243"/>
      <c r="Q217" s="243"/>
      <c r="R217" s="243"/>
      <c r="S217" s="243"/>
      <c r="T217" s="244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45" t="s">
        <v>142</v>
      </c>
      <c r="AU217" s="245" t="s">
        <v>89</v>
      </c>
      <c r="AV217" s="13" t="s">
        <v>89</v>
      </c>
      <c r="AW217" s="13" t="s">
        <v>36</v>
      </c>
      <c r="AX217" s="13" t="s">
        <v>81</v>
      </c>
      <c r="AY217" s="245" t="s">
        <v>130</v>
      </c>
    </row>
    <row r="218" s="13" customFormat="1">
      <c r="A218" s="13"/>
      <c r="B218" s="236"/>
      <c r="C218" s="237"/>
      <c r="D218" s="230" t="s">
        <v>142</v>
      </c>
      <c r="E218" s="238" t="s">
        <v>1</v>
      </c>
      <c r="F218" s="239" t="s">
        <v>246</v>
      </c>
      <c r="G218" s="237"/>
      <c r="H218" s="238" t="s">
        <v>1</v>
      </c>
      <c r="I218" s="240"/>
      <c r="J218" s="237"/>
      <c r="K218" s="237"/>
      <c r="L218" s="241"/>
      <c r="M218" s="242"/>
      <c r="N218" s="243"/>
      <c r="O218" s="243"/>
      <c r="P218" s="243"/>
      <c r="Q218" s="243"/>
      <c r="R218" s="243"/>
      <c r="S218" s="243"/>
      <c r="T218" s="244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5" t="s">
        <v>142</v>
      </c>
      <c r="AU218" s="245" t="s">
        <v>89</v>
      </c>
      <c r="AV218" s="13" t="s">
        <v>89</v>
      </c>
      <c r="AW218" s="13" t="s">
        <v>36</v>
      </c>
      <c r="AX218" s="13" t="s">
        <v>81</v>
      </c>
      <c r="AY218" s="245" t="s">
        <v>130</v>
      </c>
    </row>
    <row r="219" s="13" customFormat="1">
      <c r="A219" s="13"/>
      <c r="B219" s="236"/>
      <c r="C219" s="237"/>
      <c r="D219" s="230" t="s">
        <v>142</v>
      </c>
      <c r="E219" s="238" t="s">
        <v>1</v>
      </c>
      <c r="F219" s="239" t="s">
        <v>247</v>
      </c>
      <c r="G219" s="237"/>
      <c r="H219" s="238" t="s">
        <v>1</v>
      </c>
      <c r="I219" s="240"/>
      <c r="J219" s="237"/>
      <c r="K219" s="237"/>
      <c r="L219" s="241"/>
      <c r="M219" s="242"/>
      <c r="N219" s="243"/>
      <c r="O219" s="243"/>
      <c r="P219" s="243"/>
      <c r="Q219" s="243"/>
      <c r="R219" s="243"/>
      <c r="S219" s="243"/>
      <c r="T219" s="244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5" t="s">
        <v>142</v>
      </c>
      <c r="AU219" s="245" t="s">
        <v>89</v>
      </c>
      <c r="AV219" s="13" t="s">
        <v>89</v>
      </c>
      <c r="AW219" s="13" t="s">
        <v>36</v>
      </c>
      <c r="AX219" s="13" t="s">
        <v>81</v>
      </c>
      <c r="AY219" s="245" t="s">
        <v>130</v>
      </c>
    </row>
    <row r="220" s="13" customFormat="1">
      <c r="A220" s="13"/>
      <c r="B220" s="236"/>
      <c r="C220" s="237"/>
      <c r="D220" s="230" t="s">
        <v>142</v>
      </c>
      <c r="E220" s="238" t="s">
        <v>1</v>
      </c>
      <c r="F220" s="239" t="s">
        <v>248</v>
      </c>
      <c r="G220" s="237"/>
      <c r="H220" s="238" t="s">
        <v>1</v>
      </c>
      <c r="I220" s="240"/>
      <c r="J220" s="237"/>
      <c r="K220" s="237"/>
      <c r="L220" s="241"/>
      <c r="M220" s="242"/>
      <c r="N220" s="243"/>
      <c r="O220" s="243"/>
      <c r="P220" s="243"/>
      <c r="Q220" s="243"/>
      <c r="R220" s="243"/>
      <c r="S220" s="243"/>
      <c r="T220" s="244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T220" s="245" t="s">
        <v>142</v>
      </c>
      <c r="AU220" s="245" t="s">
        <v>89</v>
      </c>
      <c r="AV220" s="13" t="s">
        <v>89</v>
      </c>
      <c r="AW220" s="13" t="s">
        <v>36</v>
      </c>
      <c r="AX220" s="13" t="s">
        <v>81</v>
      </c>
      <c r="AY220" s="245" t="s">
        <v>130</v>
      </c>
    </row>
    <row r="221" s="13" customFormat="1">
      <c r="A221" s="13"/>
      <c r="B221" s="236"/>
      <c r="C221" s="237"/>
      <c r="D221" s="230" t="s">
        <v>142</v>
      </c>
      <c r="E221" s="238" t="s">
        <v>1</v>
      </c>
      <c r="F221" s="239" t="s">
        <v>249</v>
      </c>
      <c r="G221" s="237"/>
      <c r="H221" s="238" t="s">
        <v>1</v>
      </c>
      <c r="I221" s="240"/>
      <c r="J221" s="237"/>
      <c r="K221" s="237"/>
      <c r="L221" s="241"/>
      <c r="M221" s="242"/>
      <c r="N221" s="243"/>
      <c r="O221" s="243"/>
      <c r="P221" s="243"/>
      <c r="Q221" s="243"/>
      <c r="R221" s="243"/>
      <c r="S221" s="243"/>
      <c r="T221" s="244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5" t="s">
        <v>142</v>
      </c>
      <c r="AU221" s="245" t="s">
        <v>89</v>
      </c>
      <c r="AV221" s="13" t="s">
        <v>89</v>
      </c>
      <c r="AW221" s="13" t="s">
        <v>36</v>
      </c>
      <c r="AX221" s="13" t="s">
        <v>81</v>
      </c>
      <c r="AY221" s="245" t="s">
        <v>130</v>
      </c>
    </row>
    <row r="222" s="13" customFormat="1">
      <c r="A222" s="13"/>
      <c r="B222" s="236"/>
      <c r="C222" s="237"/>
      <c r="D222" s="230" t="s">
        <v>142</v>
      </c>
      <c r="E222" s="238" t="s">
        <v>1</v>
      </c>
      <c r="F222" s="239" t="s">
        <v>247</v>
      </c>
      <c r="G222" s="237"/>
      <c r="H222" s="238" t="s">
        <v>1</v>
      </c>
      <c r="I222" s="240"/>
      <c r="J222" s="237"/>
      <c r="K222" s="237"/>
      <c r="L222" s="241"/>
      <c r="M222" s="242"/>
      <c r="N222" s="243"/>
      <c r="O222" s="243"/>
      <c r="P222" s="243"/>
      <c r="Q222" s="243"/>
      <c r="R222" s="243"/>
      <c r="S222" s="243"/>
      <c r="T222" s="244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5" t="s">
        <v>142</v>
      </c>
      <c r="AU222" s="245" t="s">
        <v>89</v>
      </c>
      <c r="AV222" s="13" t="s">
        <v>89</v>
      </c>
      <c r="AW222" s="13" t="s">
        <v>36</v>
      </c>
      <c r="AX222" s="13" t="s">
        <v>81</v>
      </c>
      <c r="AY222" s="245" t="s">
        <v>130</v>
      </c>
    </row>
    <row r="223" s="14" customFormat="1">
      <c r="A223" s="14"/>
      <c r="B223" s="246"/>
      <c r="C223" s="247"/>
      <c r="D223" s="230" t="s">
        <v>142</v>
      </c>
      <c r="E223" s="248" t="s">
        <v>1</v>
      </c>
      <c r="F223" s="249" t="s">
        <v>250</v>
      </c>
      <c r="G223" s="247"/>
      <c r="H223" s="250">
        <v>163.83600000000001</v>
      </c>
      <c r="I223" s="251"/>
      <c r="J223" s="247"/>
      <c r="K223" s="247"/>
      <c r="L223" s="252"/>
      <c r="M223" s="257"/>
      <c r="N223" s="258"/>
      <c r="O223" s="258"/>
      <c r="P223" s="258"/>
      <c r="Q223" s="258"/>
      <c r="R223" s="258"/>
      <c r="S223" s="258"/>
      <c r="T223" s="259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T223" s="256" t="s">
        <v>142</v>
      </c>
      <c r="AU223" s="256" t="s">
        <v>89</v>
      </c>
      <c r="AV223" s="14" t="s">
        <v>91</v>
      </c>
      <c r="AW223" s="14" t="s">
        <v>36</v>
      </c>
      <c r="AX223" s="14" t="s">
        <v>89</v>
      </c>
      <c r="AY223" s="256" t="s">
        <v>130</v>
      </c>
    </row>
    <row r="224" s="2" customFormat="1" ht="6.96" customHeight="1">
      <c r="A224" s="37"/>
      <c r="B224" s="65"/>
      <c r="C224" s="66"/>
      <c r="D224" s="66"/>
      <c r="E224" s="66"/>
      <c r="F224" s="66"/>
      <c r="G224" s="66"/>
      <c r="H224" s="66"/>
      <c r="I224" s="66"/>
      <c r="J224" s="66"/>
      <c r="K224" s="66"/>
      <c r="L224" s="43"/>
      <c r="M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</row>
  </sheetData>
  <sheetProtection sheet="1" autoFilter="0" formatColumns="0" formatRows="0" objects="1" scenarios="1" spinCount="100000" saltValue="qtuVaAwM8aUpmHzXr1/MYGuBrQ6v9LhfPZrtoaTXKYQHRJ7IV7if2IzxkQlfOO5bnWXZG0Vu5da+MSlw2bpvIg==" hashValue="3Gprs57p/uLwz7P2+DL115jSsRN1qlFmvwTPtXyIijsfQl6F+gitrmdKmwKNgXx5C8nLFm8e8ZYKXk4Kh2BkBg==" algorithmName="SHA-512" password="C724"/>
  <autoFilter ref="C121:K223"/>
  <mergeCells count="9">
    <mergeCell ref="E7:H7"/>
    <mergeCell ref="E9:H9"/>
    <mergeCell ref="E18:H18"/>
    <mergeCell ref="E27:H27"/>
    <mergeCell ref="E85:H85"/>
    <mergeCell ref="E87:H87"/>
    <mergeCell ref="E112:H112"/>
    <mergeCell ref="E114:H114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94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III/0236 Dobšice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30" customHeight="1">
      <c r="A9" s="37"/>
      <c r="B9" s="43"/>
      <c r="C9" s="37"/>
      <c r="D9" s="37"/>
      <c r="E9" s="141" t="s">
        <v>251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17. 11. 2024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ROUND(J122,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ROUND((SUM(BE122:BE377)),  2)</f>
        <v>0</v>
      </c>
      <c r="G33" s="37"/>
      <c r="H33" s="37"/>
      <c r="I33" s="154">
        <v>0.20999999999999999</v>
      </c>
      <c r="J33" s="153">
        <f>ROUND(((SUM(BE122:BE377))*I33),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ROUND((SUM(BF122:BF377)),  2)</f>
        <v>0</v>
      </c>
      <c r="G34" s="37"/>
      <c r="H34" s="37"/>
      <c r="I34" s="154">
        <v>0.12</v>
      </c>
      <c r="J34" s="153">
        <f>ROUND(((SUM(BF122:BF377))*I34),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ROUND((SUM(BG122:BG377)),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ROUND((SUM(BH122:BH377)),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ROUND((SUM(BI122:BI377)),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III/0236 Dobšice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30" customHeight="1">
      <c r="A87" s="37"/>
      <c r="B87" s="38"/>
      <c r="C87" s="39"/>
      <c r="D87" s="39"/>
      <c r="E87" s="75" t="str">
        <f>E9</f>
        <v>SO102 - Oprava silnice III/0236 Dobšice, staničení km 3,130-3,735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Dobšice</v>
      </c>
      <c r="G89" s="39"/>
      <c r="H89" s="39"/>
      <c r="I89" s="31" t="s">
        <v>22</v>
      </c>
      <c r="J89" s="78" t="str">
        <f>IF(J12="","",J12)</f>
        <v>17. 11. 2024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J122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109</v>
      </c>
      <c r="E97" s="181"/>
      <c r="F97" s="181"/>
      <c r="G97" s="181"/>
      <c r="H97" s="181"/>
      <c r="I97" s="181"/>
      <c r="J97" s="182">
        <f>J123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110</v>
      </c>
      <c r="E98" s="187"/>
      <c r="F98" s="187"/>
      <c r="G98" s="187"/>
      <c r="H98" s="187"/>
      <c r="I98" s="187"/>
      <c r="J98" s="188">
        <f>J124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111</v>
      </c>
      <c r="E99" s="187"/>
      <c r="F99" s="187"/>
      <c r="G99" s="187"/>
      <c r="H99" s="187"/>
      <c r="I99" s="187"/>
      <c r="J99" s="188">
        <f>J251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112</v>
      </c>
      <c r="E100" s="187"/>
      <c r="F100" s="187"/>
      <c r="G100" s="187"/>
      <c r="H100" s="187"/>
      <c r="I100" s="187"/>
      <c r="J100" s="188">
        <f>J316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113</v>
      </c>
      <c r="E101" s="187"/>
      <c r="F101" s="187"/>
      <c r="G101" s="187"/>
      <c r="H101" s="187"/>
      <c r="I101" s="187"/>
      <c r="J101" s="188">
        <f>J328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9" customFormat="1" ht="24.96" customHeight="1">
      <c r="A102" s="9"/>
      <c r="B102" s="178"/>
      <c r="C102" s="179"/>
      <c r="D102" s="180" t="s">
        <v>114</v>
      </c>
      <c r="E102" s="181"/>
      <c r="F102" s="181"/>
      <c r="G102" s="181"/>
      <c r="H102" s="181"/>
      <c r="I102" s="181"/>
      <c r="J102" s="182">
        <f>J350</f>
        <v>0</v>
      </c>
      <c r="K102" s="179"/>
      <c r="L102" s="183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="2" customFormat="1" ht="21.84" customHeight="1">
      <c r="A103" s="37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6.96" customHeight="1">
      <c r="A104" s="37"/>
      <c r="B104" s="65"/>
      <c r="C104" s="66"/>
      <c r="D104" s="66"/>
      <c r="E104" s="66"/>
      <c r="F104" s="66"/>
      <c r="G104" s="66"/>
      <c r="H104" s="66"/>
      <c r="I104" s="66"/>
      <c r="J104" s="66"/>
      <c r="K104" s="66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8" s="2" customFormat="1" ht="6.96" customHeight="1">
      <c r="A108" s="37"/>
      <c r="B108" s="67"/>
      <c r="C108" s="68"/>
      <c r="D108" s="68"/>
      <c r="E108" s="68"/>
      <c r="F108" s="68"/>
      <c r="G108" s="68"/>
      <c r="H108" s="68"/>
      <c r="I108" s="68"/>
      <c r="J108" s="68"/>
      <c r="K108" s="68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24.96" customHeight="1">
      <c r="A109" s="37"/>
      <c r="B109" s="38"/>
      <c r="C109" s="22" t="s">
        <v>115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16</v>
      </c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6.5" customHeight="1">
      <c r="A112" s="37"/>
      <c r="B112" s="38"/>
      <c r="C112" s="39"/>
      <c r="D112" s="39"/>
      <c r="E112" s="173" t="str">
        <f>E7</f>
        <v>Oprava silnice III/0236 Dobšice</v>
      </c>
      <c r="F112" s="31"/>
      <c r="G112" s="31"/>
      <c r="H112" s="31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102</v>
      </c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30" customHeight="1">
      <c r="A114" s="37"/>
      <c r="B114" s="38"/>
      <c r="C114" s="39"/>
      <c r="D114" s="39"/>
      <c r="E114" s="75" t="str">
        <f>E9</f>
        <v>SO102 - Oprava silnice III/0236 Dobšice, staničení km 3,130-3,735</v>
      </c>
      <c r="F114" s="39"/>
      <c r="G114" s="39"/>
      <c r="H114" s="39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6.96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2" customHeight="1">
      <c r="A116" s="37"/>
      <c r="B116" s="38"/>
      <c r="C116" s="31" t="s">
        <v>20</v>
      </c>
      <c r="D116" s="39"/>
      <c r="E116" s="39"/>
      <c r="F116" s="26" t="str">
        <f>F12</f>
        <v>Dobšice</v>
      </c>
      <c r="G116" s="39"/>
      <c r="H116" s="39"/>
      <c r="I116" s="31" t="s">
        <v>22</v>
      </c>
      <c r="J116" s="78" t="str">
        <f>IF(J12="","",J12)</f>
        <v>17. 11. 2024</v>
      </c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6.96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2" customFormat="1" ht="40.05" customHeight="1">
      <c r="A118" s="37"/>
      <c r="B118" s="38"/>
      <c r="C118" s="31" t="s">
        <v>24</v>
      </c>
      <c r="D118" s="39"/>
      <c r="E118" s="39"/>
      <c r="F118" s="26" t="str">
        <f>E15</f>
        <v>Jihočeský kraj</v>
      </c>
      <c r="G118" s="39"/>
      <c r="H118" s="39"/>
      <c r="I118" s="31" t="s">
        <v>32</v>
      </c>
      <c r="J118" s="35" t="str">
        <f>E21</f>
        <v>Správa a údržba silnic Jihočeského kraje p.o.</v>
      </c>
      <c r="K118" s="39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25.65" customHeight="1">
      <c r="A119" s="37"/>
      <c r="B119" s="38"/>
      <c r="C119" s="31" t="s">
        <v>30</v>
      </c>
      <c r="D119" s="39"/>
      <c r="E119" s="39"/>
      <c r="F119" s="26" t="str">
        <f>IF(E18="","",E18)</f>
        <v>Vyplň údaj</v>
      </c>
      <c r="G119" s="39"/>
      <c r="H119" s="39"/>
      <c r="I119" s="31" t="s">
        <v>37</v>
      </c>
      <c r="J119" s="35" t="str">
        <f>E24</f>
        <v>Petr Nachtigal 606 633 836</v>
      </c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10.32" customHeight="1">
      <c r="A120" s="37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11" customFormat="1" ht="29.28" customHeight="1">
      <c r="A121" s="190"/>
      <c r="B121" s="191"/>
      <c r="C121" s="192" t="s">
        <v>116</v>
      </c>
      <c r="D121" s="193" t="s">
        <v>66</v>
      </c>
      <c r="E121" s="193" t="s">
        <v>62</v>
      </c>
      <c r="F121" s="193" t="s">
        <v>63</v>
      </c>
      <c r="G121" s="193" t="s">
        <v>117</v>
      </c>
      <c r="H121" s="193" t="s">
        <v>118</v>
      </c>
      <c r="I121" s="193" t="s">
        <v>119</v>
      </c>
      <c r="J121" s="193" t="s">
        <v>106</v>
      </c>
      <c r="K121" s="194" t="s">
        <v>120</v>
      </c>
      <c r="L121" s="195"/>
      <c r="M121" s="99" t="s">
        <v>1</v>
      </c>
      <c r="N121" s="100" t="s">
        <v>45</v>
      </c>
      <c r="O121" s="100" t="s">
        <v>121</v>
      </c>
      <c r="P121" s="100" t="s">
        <v>122</v>
      </c>
      <c r="Q121" s="100" t="s">
        <v>123</v>
      </c>
      <c r="R121" s="100" t="s">
        <v>124</v>
      </c>
      <c r="S121" s="100" t="s">
        <v>125</v>
      </c>
      <c r="T121" s="101" t="s">
        <v>126</v>
      </c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</row>
    <row r="122" s="2" customFormat="1" ht="22.8" customHeight="1">
      <c r="A122" s="37"/>
      <c r="B122" s="38"/>
      <c r="C122" s="106" t="s">
        <v>127</v>
      </c>
      <c r="D122" s="39"/>
      <c r="E122" s="39"/>
      <c r="F122" s="39"/>
      <c r="G122" s="39"/>
      <c r="H122" s="39"/>
      <c r="I122" s="39"/>
      <c r="J122" s="196">
        <f>BK122</f>
        <v>0</v>
      </c>
      <c r="K122" s="39"/>
      <c r="L122" s="43"/>
      <c r="M122" s="102"/>
      <c r="N122" s="197"/>
      <c r="O122" s="103"/>
      <c r="P122" s="198">
        <f>P123+P350</f>
        <v>0</v>
      </c>
      <c r="Q122" s="103"/>
      <c r="R122" s="198">
        <f>R123+R350</f>
        <v>0</v>
      </c>
      <c r="S122" s="103"/>
      <c r="T122" s="199">
        <f>T123+T350</f>
        <v>0</v>
      </c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T122" s="16" t="s">
        <v>80</v>
      </c>
      <c r="AU122" s="16" t="s">
        <v>108</v>
      </c>
      <c r="BK122" s="200">
        <f>BK123+BK350</f>
        <v>0</v>
      </c>
    </row>
    <row r="123" s="12" customFormat="1" ht="25.92" customHeight="1">
      <c r="A123" s="12"/>
      <c r="B123" s="201"/>
      <c r="C123" s="202"/>
      <c r="D123" s="203" t="s">
        <v>80</v>
      </c>
      <c r="E123" s="204" t="s">
        <v>128</v>
      </c>
      <c r="F123" s="204" t="s">
        <v>129</v>
      </c>
      <c r="G123" s="202"/>
      <c r="H123" s="202"/>
      <c r="I123" s="205"/>
      <c r="J123" s="206">
        <f>BK123</f>
        <v>0</v>
      </c>
      <c r="K123" s="202"/>
      <c r="L123" s="207"/>
      <c r="M123" s="208"/>
      <c r="N123" s="209"/>
      <c r="O123" s="209"/>
      <c r="P123" s="210">
        <f>P124+P251+P316+P328</f>
        <v>0</v>
      </c>
      <c r="Q123" s="209"/>
      <c r="R123" s="210">
        <f>R124+R251+R316+R328</f>
        <v>0</v>
      </c>
      <c r="S123" s="209"/>
      <c r="T123" s="211">
        <f>T124+T251+T316+T328</f>
        <v>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12" t="s">
        <v>89</v>
      </c>
      <c r="AT123" s="213" t="s">
        <v>80</v>
      </c>
      <c r="AU123" s="213" t="s">
        <v>81</v>
      </c>
      <c r="AY123" s="212" t="s">
        <v>130</v>
      </c>
      <c r="BK123" s="214">
        <f>BK124+BK251+BK316+BK328</f>
        <v>0</v>
      </c>
    </row>
    <row r="124" s="12" customFormat="1" ht="22.8" customHeight="1">
      <c r="A124" s="12"/>
      <c r="B124" s="201"/>
      <c r="C124" s="202"/>
      <c r="D124" s="203" t="s">
        <v>80</v>
      </c>
      <c r="E124" s="215" t="s">
        <v>89</v>
      </c>
      <c r="F124" s="215" t="s">
        <v>131</v>
      </c>
      <c r="G124" s="202"/>
      <c r="H124" s="202"/>
      <c r="I124" s="205"/>
      <c r="J124" s="216">
        <f>BK124</f>
        <v>0</v>
      </c>
      <c r="K124" s="202"/>
      <c r="L124" s="207"/>
      <c r="M124" s="208"/>
      <c r="N124" s="209"/>
      <c r="O124" s="209"/>
      <c r="P124" s="210">
        <f>SUM(P125:P250)</f>
        <v>0</v>
      </c>
      <c r="Q124" s="209"/>
      <c r="R124" s="210">
        <f>SUM(R125:R250)</f>
        <v>0</v>
      </c>
      <c r="S124" s="209"/>
      <c r="T124" s="211">
        <f>SUM(T125:T250)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2" t="s">
        <v>89</v>
      </c>
      <c r="AT124" s="213" t="s">
        <v>80</v>
      </c>
      <c r="AU124" s="213" t="s">
        <v>89</v>
      </c>
      <c r="AY124" s="212" t="s">
        <v>130</v>
      </c>
      <c r="BK124" s="214">
        <f>SUM(BK125:BK250)</f>
        <v>0</v>
      </c>
    </row>
    <row r="125" s="2" customFormat="1" ht="33" customHeight="1">
      <c r="A125" s="37"/>
      <c r="B125" s="38"/>
      <c r="C125" s="217" t="s">
        <v>252</v>
      </c>
      <c r="D125" s="217" t="s">
        <v>132</v>
      </c>
      <c r="E125" s="218" t="s">
        <v>253</v>
      </c>
      <c r="F125" s="219" t="s">
        <v>254</v>
      </c>
      <c r="G125" s="220" t="s">
        <v>135</v>
      </c>
      <c r="H125" s="221">
        <v>507.36000000000001</v>
      </c>
      <c r="I125" s="222"/>
      <c r="J125" s="223">
        <f>ROUND(I125*H125,2)</f>
        <v>0</v>
      </c>
      <c r="K125" s="219" t="s">
        <v>136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137</v>
      </c>
      <c r="AT125" s="228" t="s">
        <v>132</v>
      </c>
      <c r="AU125" s="228" t="s">
        <v>91</v>
      </c>
      <c r="AY125" s="16" t="s">
        <v>130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137</v>
      </c>
      <c r="BM125" s="228" t="s">
        <v>255</v>
      </c>
    </row>
    <row r="126" s="2" customFormat="1">
      <c r="A126" s="37"/>
      <c r="B126" s="38"/>
      <c r="C126" s="39"/>
      <c r="D126" s="230" t="s">
        <v>139</v>
      </c>
      <c r="E126" s="39"/>
      <c r="F126" s="231" t="s">
        <v>254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139</v>
      </c>
      <c r="AU126" s="16" t="s">
        <v>91</v>
      </c>
    </row>
    <row r="127" s="2" customFormat="1">
      <c r="A127" s="37"/>
      <c r="B127" s="38"/>
      <c r="C127" s="39"/>
      <c r="D127" s="230" t="s">
        <v>140</v>
      </c>
      <c r="E127" s="39"/>
      <c r="F127" s="235" t="s">
        <v>256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140</v>
      </c>
      <c r="AU127" s="16" t="s">
        <v>91</v>
      </c>
    </row>
    <row r="128" s="13" customFormat="1">
      <c r="A128" s="13"/>
      <c r="B128" s="236"/>
      <c r="C128" s="237"/>
      <c r="D128" s="230" t="s">
        <v>142</v>
      </c>
      <c r="E128" s="238" t="s">
        <v>1</v>
      </c>
      <c r="F128" s="239" t="s">
        <v>257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142</v>
      </c>
      <c r="AU128" s="245" t="s">
        <v>91</v>
      </c>
      <c r="AV128" s="13" t="s">
        <v>89</v>
      </c>
      <c r="AW128" s="13" t="s">
        <v>36</v>
      </c>
      <c r="AX128" s="13" t="s">
        <v>81</v>
      </c>
      <c r="AY128" s="245" t="s">
        <v>130</v>
      </c>
    </row>
    <row r="129" s="13" customFormat="1">
      <c r="A129" s="13"/>
      <c r="B129" s="236"/>
      <c r="C129" s="237"/>
      <c r="D129" s="230" t="s">
        <v>142</v>
      </c>
      <c r="E129" s="238" t="s">
        <v>1</v>
      </c>
      <c r="F129" s="239" t="s">
        <v>258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142</v>
      </c>
      <c r="AU129" s="245" t="s">
        <v>91</v>
      </c>
      <c r="AV129" s="13" t="s">
        <v>89</v>
      </c>
      <c r="AW129" s="13" t="s">
        <v>36</v>
      </c>
      <c r="AX129" s="13" t="s">
        <v>81</v>
      </c>
      <c r="AY129" s="245" t="s">
        <v>130</v>
      </c>
    </row>
    <row r="130" s="13" customFormat="1">
      <c r="A130" s="13"/>
      <c r="B130" s="236"/>
      <c r="C130" s="237"/>
      <c r="D130" s="230" t="s">
        <v>142</v>
      </c>
      <c r="E130" s="238" t="s">
        <v>1</v>
      </c>
      <c r="F130" s="239" t="s">
        <v>259</v>
      </c>
      <c r="G130" s="237"/>
      <c r="H130" s="238" t="s">
        <v>1</v>
      </c>
      <c r="I130" s="240"/>
      <c r="J130" s="237"/>
      <c r="K130" s="237"/>
      <c r="L130" s="241"/>
      <c r="M130" s="242"/>
      <c r="N130" s="243"/>
      <c r="O130" s="243"/>
      <c r="P130" s="243"/>
      <c r="Q130" s="243"/>
      <c r="R130" s="243"/>
      <c r="S130" s="243"/>
      <c r="T130" s="244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5" t="s">
        <v>142</v>
      </c>
      <c r="AU130" s="245" t="s">
        <v>91</v>
      </c>
      <c r="AV130" s="13" t="s">
        <v>89</v>
      </c>
      <c r="AW130" s="13" t="s">
        <v>36</v>
      </c>
      <c r="AX130" s="13" t="s">
        <v>81</v>
      </c>
      <c r="AY130" s="245" t="s">
        <v>130</v>
      </c>
    </row>
    <row r="131" s="13" customFormat="1">
      <c r="A131" s="13"/>
      <c r="B131" s="236"/>
      <c r="C131" s="237"/>
      <c r="D131" s="230" t="s">
        <v>142</v>
      </c>
      <c r="E131" s="238" t="s">
        <v>1</v>
      </c>
      <c r="F131" s="239" t="s">
        <v>260</v>
      </c>
      <c r="G131" s="237"/>
      <c r="H131" s="238" t="s">
        <v>1</v>
      </c>
      <c r="I131" s="240"/>
      <c r="J131" s="237"/>
      <c r="K131" s="237"/>
      <c r="L131" s="241"/>
      <c r="M131" s="242"/>
      <c r="N131" s="243"/>
      <c r="O131" s="243"/>
      <c r="P131" s="243"/>
      <c r="Q131" s="243"/>
      <c r="R131" s="243"/>
      <c r="S131" s="243"/>
      <c r="T131" s="244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5" t="s">
        <v>142</v>
      </c>
      <c r="AU131" s="245" t="s">
        <v>91</v>
      </c>
      <c r="AV131" s="13" t="s">
        <v>89</v>
      </c>
      <c r="AW131" s="13" t="s">
        <v>36</v>
      </c>
      <c r="AX131" s="13" t="s">
        <v>81</v>
      </c>
      <c r="AY131" s="245" t="s">
        <v>130</v>
      </c>
    </row>
    <row r="132" s="13" customFormat="1">
      <c r="A132" s="13"/>
      <c r="B132" s="236"/>
      <c r="C132" s="237"/>
      <c r="D132" s="230" t="s">
        <v>142</v>
      </c>
      <c r="E132" s="238" t="s">
        <v>1</v>
      </c>
      <c r="F132" s="239" t="s">
        <v>261</v>
      </c>
      <c r="G132" s="237"/>
      <c r="H132" s="238" t="s">
        <v>1</v>
      </c>
      <c r="I132" s="240"/>
      <c r="J132" s="237"/>
      <c r="K132" s="237"/>
      <c r="L132" s="241"/>
      <c r="M132" s="242"/>
      <c r="N132" s="243"/>
      <c r="O132" s="243"/>
      <c r="P132" s="243"/>
      <c r="Q132" s="243"/>
      <c r="R132" s="243"/>
      <c r="S132" s="243"/>
      <c r="T132" s="244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45" t="s">
        <v>142</v>
      </c>
      <c r="AU132" s="245" t="s">
        <v>91</v>
      </c>
      <c r="AV132" s="13" t="s">
        <v>89</v>
      </c>
      <c r="AW132" s="13" t="s">
        <v>36</v>
      </c>
      <c r="AX132" s="13" t="s">
        <v>81</v>
      </c>
      <c r="AY132" s="245" t="s">
        <v>130</v>
      </c>
    </row>
    <row r="133" s="13" customFormat="1">
      <c r="A133" s="13"/>
      <c r="B133" s="236"/>
      <c r="C133" s="237"/>
      <c r="D133" s="230" t="s">
        <v>142</v>
      </c>
      <c r="E133" s="238" t="s">
        <v>1</v>
      </c>
      <c r="F133" s="239" t="s">
        <v>262</v>
      </c>
      <c r="G133" s="237"/>
      <c r="H133" s="238" t="s">
        <v>1</v>
      </c>
      <c r="I133" s="240"/>
      <c r="J133" s="237"/>
      <c r="K133" s="237"/>
      <c r="L133" s="241"/>
      <c r="M133" s="242"/>
      <c r="N133" s="243"/>
      <c r="O133" s="243"/>
      <c r="P133" s="243"/>
      <c r="Q133" s="243"/>
      <c r="R133" s="243"/>
      <c r="S133" s="243"/>
      <c r="T133" s="244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5" t="s">
        <v>142</v>
      </c>
      <c r="AU133" s="245" t="s">
        <v>91</v>
      </c>
      <c r="AV133" s="13" t="s">
        <v>89</v>
      </c>
      <c r="AW133" s="13" t="s">
        <v>36</v>
      </c>
      <c r="AX133" s="13" t="s">
        <v>81</v>
      </c>
      <c r="AY133" s="245" t="s">
        <v>130</v>
      </c>
    </row>
    <row r="134" s="13" customFormat="1">
      <c r="A134" s="13"/>
      <c r="B134" s="236"/>
      <c r="C134" s="237"/>
      <c r="D134" s="230" t="s">
        <v>142</v>
      </c>
      <c r="E134" s="238" t="s">
        <v>1</v>
      </c>
      <c r="F134" s="239" t="s">
        <v>263</v>
      </c>
      <c r="G134" s="237"/>
      <c r="H134" s="238" t="s">
        <v>1</v>
      </c>
      <c r="I134" s="240"/>
      <c r="J134" s="237"/>
      <c r="K134" s="237"/>
      <c r="L134" s="241"/>
      <c r="M134" s="242"/>
      <c r="N134" s="243"/>
      <c r="O134" s="243"/>
      <c r="P134" s="243"/>
      <c r="Q134" s="243"/>
      <c r="R134" s="243"/>
      <c r="S134" s="243"/>
      <c r="T134" s="244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45" t="s">
        <v>142</v>
      </c>
      <c r="AU134" s="245" t="s">
        <v>91</v>
      </c>
      <c r="AV134" s="13" t="s">
        <v>89</v>
      </c>
      <c r="AW134" s="13" t="s">
        <v>36</v>
      </c>
      <c r="AX134" s="13" t="s">
        <v>81</v>
      </c>
      <c r="AY134" s="245" t="s">
        <v>130</v>
      </c>
    </row>
    <row r="135" s="13" customFormat="1">
      <c r="A135" s="13"/>
      <c r="B135" s="236"/>
      <c r="C135" s="237"/>
      <c r="D135" s="230" t="s">
        <v>142</v>
      </c>
      <c r="E135" s="238" t="s">
        <v>1</v>
      </c>
      <c r="F135" s="239" t="s">
        <v>264</v>
      </c>
      <c r="G135" s="237"/>
      <c r="H135" s="238" t="s">
        <v>1</v>
      </c>
      <c r="I135" s="240"/>
      <c r="J135" s="237"/>
      <c r="K135" s="237"/>
      <c r="L135" s="241"/>
      <c r="M135" s="242"/>
      <c r="N135" s="243"/>
      <c r="O135" s="243"/>
      <c r="P135" s="243"/>
      <c r="Q135" s="243"/>
      <c r="R135" s="243"/>
      <c r="S135" s="243"/>
      <c r="T135" s="244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5" t="s">
        <v>142</v>
      </c>
      <c r="AU135" s="245" t="s">
        <v>91</v>
      </c>
      <c r="AV135" s="13" t="s">
        <v>89</v>
      </c>
      <c r="AW135" s="13" t="s">
        <v>36</v>
      </c>
      <c r="AX135" s="13" t="s">
        <v>81</v>
      </c>
      <c r="AY135" s="245" t="s">
        <v>130</v>
      </c>
    </row>
    <row r="136" s="14" customFormat="1">
      <c r="A136" s="14"/>
      <c r="B136" s="246"/>
      <c r="C136" s="247"/>
      <c r="D136" s="230" t="s">
        <v>142</v>
      </c>
      <c r="E136" s="248" t="s">
        <v>1</v>
      </c>
      <c r="F136" s="249" t="s">
        <v>265</v>
      </c>
      <c r="G136" s="247"/>
      <c r="H136" s="250">
        <v>507.36000000000001</v>
      </c>
      <c r="I136" s="251"/>
      <c r="J136" s="247"/>
      <c r="K136" s="247"/>
      <c r="L136" s="252"/>
      <c r="M136" s="253"/>
      <c r="N136" s="254"/>
      <c r="O136" s="254"/>
      <c r="P136" s="254"/>
      <c r="Q136" s="254"/>
      <c r="R136" s="254"/>
      <c r="S136" s="254"/>
      <c r="T136" s="255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T136" s="256" t="s">
        <v>142</v>
      </c>
      <c r="AU136" s="256" t="s">
        <v>91</v>
      </c>
      <c r="AV136" s="14" t="s">
        <v>91</v>
      </c>
      <c r="AW136" s="14" t="s">
        <v>36</v>
      </c>
      <c r="AX136" s="14" t="s">
        <v>89</v>
      </c>
      <c r="AY136" s="256" t="s">
        <v>130</v>
      </c>
    </row>
    <row r="137" s="2" customFormat="1" ht="24.15" customHeight="1">
      <c r="A137" s="37"/>
      <c r="B137" s="38"/>
      <c r="C137" s="217" t="s">
        <v>89</v>
      </c>
      <c r="D137" s="217" t="s">
        <v>132</v>
      </c>
      <c r="E137" s="218" t="s">
        <v>133</v>
      </c>
      <c r="F137" s="219" t="s">
        <v>134</v>
      </c>
      <c r="G137" s="220" t="s">
        <v>135</v>
      </c>
      <c r="H137" s="221">
        <v>190.47</v>
      </c>
      <c r="I137" s="222"/>
      <c r="J137" s="223">
        <f>ROUND(I137*H137,2)</f>
        <v>0</v>
      </c>
      <c r="K137" s="219" t="s">
        <v>136</v>
      </c>
      <c r="L137" s="43"/>
      <c r="M137" s="224" t="s">
        <v>1</v>
      </c>
      <c r="N137" s="225" t="s">
        <v>46</v>
      </c>
      <c r="O137" s="90"/>
      <c r="P137" s="226">
        <f>O137*H137</f>
        <v>0</v>
      </c>
      <c r="Q137" s="226">
        <v>0</v>
      </c>
      <c r="R137" s="226">
        <f>Q137*H137</f>
        <v>0</v>
      </c>
      <c r="S137" s="226">
        <v>0</v>
      </c>
      <c r="T137" s="227">
        <f>S137*H137</f>
        <v>0</v>
      </c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R137" s="228" t="s">
        <v>137</v>
      </c>
      <c r="AT137" s="228" t="s">
        <v>132</v>
      </c>
      <c r="AU137" s="228" t="s">
        <v>91</v>
      </c>
      <c r="AY137" s="16" t="s">
        <v>130</v>
      </c>
      <c r="BE137" s="229">
        <f>IF(N137="základní",J137,0)</f>
        <v>0</v>
      </c>
      <c r="BF137" s="229">
        <f>IF(N137="snížená",J137,0)</f>
        <v>0</v>
      </c>
      <c r="BG137" s="229">
        <f>IF(N137="zákl. přenesená",J137,0)</f>
        <v>0</v>
      </c>
      <c r="BH137" s="229">
        <f>IF(N137="sníž. přenesená",J137,0)</f>
        <v>0</v>
      </c>
      <c r="BI137" s="229">
        <f>IF(N137="nulová",J137,0)</f>
        <v>0</v>
      </c>
      <c r="BJ137" s="16" t="s">
        <v>89</v>
      </c>
      <c r="BK137" s="229">
        <f>ROUND(I137*H137,2)</f>
        <v>0</v>
      </c>
      <c r="BL137" s="16" t="s">
        <v>137</v>
      </c>
      <c r="BM137" s="228" t="s">
        <v>138</v>
      </c>
    </row>
    <row r="138" s="2" customFormat="1">
      <c r="A138" s="37"/>
      <c r="B138" s="38"/>
      <c r="C138" s="39"/>
      <c r="D138" s="230" t="s">
        <v>139</v>
      </c>
      <c r="E138" s="39"/>
      <c r="F138" s="231" t="s">
        <v>134</v>
      </c>
      <c r="G138" s="39"/>
      <c r="H138" s="39"/>
      <c r="I138" s="232"/>
      <c r="J138" s="39"/>
      <c r="K138" s="39"/>
      <c r="L138" s="43"/>
      <c r="M138" s="233"/>
      <c r="N138" s="234"/>
      <c r="O138" s="90"/>
      <c r="P138" s="90"/>
      <c r="Q138" s="90"/>
      <c r="R138" s="90"/>
      <c r="S138" s="90"/>
      <c r="T138" s="91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T138" s="16" t="s">
        <v>139</v>
      </c>
      <c r="AU138" s="16" t="s">
        <v>91</v>
      </c>
    </row>
    <row r="139" s="2" customFormat="1">
      <c r="A139" s="37"/>
      <c r="B139" s="38"/>
      <c r="C139" s="39"/>
      <c r="D139" s="230" t="s">
        <v>140</v>
      </c>
      <c r="E139" s="39"/>
      <c r="F139" s="235" t="s">
        <v>141</v>
      </c>
      <c r="G139" s="39"/>
      <c r="H139" s="39"/>
      <c r="I139" s="232"/>
      <c r="J139" s="39"/>
      <c r="K139" s="39"/>
      <c r="L139" s="43"/>
      <c r="M139" s="233"/>
      <c r="N139" s="234"/>
      <c r="O139" s="90"/>
      <c r="P139" s="90"/>
      <c r="Q139" s="90"/>
      <c r="R139" s="90"/>
      <c r="S139" s="90"/>
      <c r="T139" s="91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T139" s="16" t="s">
        <v>140</v>
      </c>
      <c r="AU139" s="16" t="s">
        <v>91</v>
      </c>
    </row>
    <row r="140" s="13" customFormat="1">
      <c r="A140" s="13"/>
      <c r="B140" s="236"/>
      <c r="C140" s="237"/>
      <c r="D140" s="230" t="s">
        <v>142</v>
      </c>
      <c r="E140" s="238" t="s">
        <v>1</v>
      </c>
      <c r="F140" s="239" t="s">
        <v>143</v>
      </c>
      <c r="G140" s="237"/>
      <c r="H140" s="238" t="s">
        <v>1</v>
      </c>
      <c r="I140" s="240"/>
      <c r="J140" s="237"/>
      <c r="K140" s="237"/>
      <c r="L140" s="241"/>
      <c r="M140" s="242"/>
      <c r="N140" s="243"/>
      <c r="O140" s="243"/>
      <c r="P140" s="243"/>
      <c r="Q140" s="243"/>
      <c r="R140" s="243"/>
      <c r="S140" s="243"/>
      <c r="T140" s="244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5" t="s">
        <v>142</v>
      </c>
      <c r="AU140" s="245" t="s">
        <v>91</v>
      </c>
      <c r="AV140" s="13" t="s">
        <v>89</v>
      </c>
      <c r="AW140" s="13" t="s">
        <v>36</v>
      </c>
      <c r="AX140" s="13" t="s">
        <v>81</v>
      </c>
      <c r="AY140" s="245" t="s">
        <v>130</v>
      </c>
    </row>
    <row r="141" s="13" customFormat="1">
      <c r="A141" s="13"/>
      <c r="B141" s="236"/>
      <c r="C141" s="237"/>
      <c r="D141" s="230" t="s">
        <v>142</v>
      </c>
      <c r="E141" s="238" t="s">
        <v>1</v>
      </c>
      <c r="F141" s="239" t="s">
        <v>266</v>
      </c>
      <c r="G141" s="237"/>
      <c r="H141" s="238" t="s">
        <v>1</v>
      </c>
      <c r="I141" s="240"/>
      <c r="J141" s="237"/>
      <c r="K141" s="237"/>
      <c r="L141" s="241"/>
      <c r="M141" s="242"/>
      <c r="N141" s="243"/>
      <c r="O141" s="243"/>
      <c r="P141" s="243"/>
      <c r="Q141" s="243"/>
      <c r="R141" s="243"/>
      <c r="S141" s="243"/>
      <c r="T141" s="244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5" t="s">
        <v>142</v>
      </c>
      <c r="AU141" s="245" t="s">
        <v>91</v>
      </c>
      <c r="AV141" s="13" t="s">
        <v>89</v>
      </c>
      <c r="AW141" s="13" t="s">
        <v>36</v>
      </c>
      <c r="AX141" s="13" t="s">
        <v>81</v>
      </c>
      <c r="AY141" s="245" t="s">
        <v>130</v>
      </c>
    </row>
    <row r="142" s="13" customFormat="1">
      <c r="A142" s="13"/>
      <c r="B142" s="236"/>
      <c r="C142" s="237"/>
      <c r="D142" s="230" t="s">
        <v>142</v>
      </c>
      <c r="E142" s="238" t="s">
        <v>1</v>
      </c>
      <c r="F142" s="239" t="s">
        <v>267</v>
      </c>
      <c r="G142" s="237"/>
      <c r="H142" s="238" t="s">
        <v>1</v>
      </c>
      <c r="I142" s="240"/>
      <c r="J142" s="237"/>
      <c r="K142" s="237"/>
      <c r="L142" s="241"/>
      <c r="M142" s="242"/>
      <c r="N142" s="243"/>
      <c r="O142" s="243"/>
      <c r="P142" s="243"/>
      <c r="Q142" s="243"/>
      <c r="R142" s="243"/>
      <c r="S142" s="243"/>
      <c r="T142" s="244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5" t="s">
        <v>142</v>
      </c>
      <c r="AU142" s="245" t="s">
        <v>91</v>
      </c>
      <c r="AV142" s="13" t="s">
        <v>89</v>
      </c>
      <c r="AW142" s="13" t="s">
        <v>36</v>
      </c>
      <c r="AX142" s="13" t="s">
        <v>81</v>
      </c>
      <c r="AY142" s="245" t="s">
        <v>130</v>
      </c>
    </row>
    <row r="143" s="13" customFormat="1">
      <c r="A143" s="13"/>
      <c r="B143" s="236"/>
      <c r="C143" s="237"/>
      <c r="D143" s="230" t="s">
        <v>142</v>
      </c>
      <c r="E143" s="238" t="s">
        <v>1</v>
      </c>
      <c r="F143" s="239" t="s">
        <v>263</v>
      </c>
      <c r="G143" s="237"/>
      <c r="H143" s="238" t="s">
        <v>1</v>
      </c>
      <c r="I143" s="240"/>
      <c r="J143" s="237"/>
      <c r="K143" s="237"/>
      <c r="L143" s="241"/>
      <c r="M143" s="242"/>
      <c r="N143" s="243"/>
      <c r="O143" s="243"/>
      <c r="P143" s="243"/>
      <c r="Q143" s="243"/>
      <c r="R143" s="243"/>
      <c r="S143" s="243"/>
      <c r="T143" s="244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5" t="s">
        <v>142</v>
      </c>
      <c r="AU143" s="245" t="s">
        <v>91</v>
      </c>
      <c r="AV143" s="13" t="s">
        <v>89</v>
      </c>
      <c r="AW143" s="13" t="s">
        <v>36</v>
      </c>
      <c r="AX143" s="13" t="s">
        <v>81</v>
      </c>
      <c r="AY143" s="245" t="s">
        <v>130</v>
      </c>
    </row>
    <row r="144" s="13" customFormat="1">
      <c r="A144" s="13"/>
      <c r="B144" s="236"/>
      <c r="C144" s="237"/>
      <c r="D144" s="230" t="s">
        <v>142</v>
      </c>
      <c r="E144" s="238" t="s">
        <v>1</v>
      </c>
      <c r="F144" s="239" t="s">
        <v>147</v>
      </c>
      <c r="G144" s="237"/>
      <c r="H144" s="238" t="s">
        <v>1</v>
      </c>
      <c r="I144" s="240"/>
      <c r="J144" s="237"/>
      <c r="K144" s="237"/>
      <c r="L144" s="241"/>
      <c r="M144" s="242"/>
      <c r="N144" s="243"/>
      <c r="O144" s="243"/>
      <c r="P144" s="243"/>
      <c r="Q144" s="243"/>
      <c r="R144" s="243"/>
      <c r="S144" s="243"/>
      <c r="T144" s="244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5" t="s">
        <v>142</v>
      </c>
      <c r="AU144" s="245" t="s">
        <v>91</v>
      </c>
      <c r="AV144" s="13" t="s">
        <v>89</v>
      </c>
      <c r="AW144" s="13" t="s">
        <v>36</v>
      </c>
      <c r="AX144" s="13" t="s">
        <v>81</v>
      </c>
      <c r="AY144" s="245" t="s">
        <v>130</v>
      </c>
    </row>
    <row r="145" s="13" customFormat="1">
      <c r="A145" s="13"/>
      <c r="B145" s="236"/>
      <c r="C145" s="237"/>
      <c r="D145" s="230" t="s">
        <v>142</v>
      </c>
      <c r="E145" s="238" t="s">
        <v>1</v>
      </c>
      <c r="F145" s="239" t="s">
        <v>268</v>
      </c>
      <c r="G145" s="237"/>
      <c r="H145" s="238" t="s">
        <v>1</v>
      </c>
      <c r="I145" s="240"/>
      <c r="J145" s="237"/>
      <c r="K145" s="237"/>
      <c r="L145" s="241"/>
      <c r="M145" s="242"/>
      <c r="N145" s="243"/>
      <c r="O145" s="243"/>
      <c r="P145" s="243"/>
      <c r="Q145" s="243"/>
      <c r="R145" s="243"/>
      <c r="S145" s="243"/>
      <c r="T145" s="244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5" t="s">
        <v>142</v>
      </c>
      <c r="AU145" s="245" t="s">
        <v>91</v>
      </c>
      <c r="AV145" s="13" t="s">
        <v>89</v>
      </c>
      <c r="AW145" s="13" t="s">
        <v>36</v>
      </c>
      <c r="AX145" s="13" t="s">
        <v>81</v>
      </c>
      <c r="AY145" s="245" t="s">
        <v>130</v>
      </c>
    </row>
    <row r="146" s="13" customFormat="1">
      <c r="A146" s="13"/>
      <c r="B146" s="236"/>
      <c r="C146" s="237"/>
      <c r="D146" s="230" t="s">
        <v>142</v>
      </c>
      <c r="E146" s="238" t="s">
        <v>1</v>
      </c>
      <c r="F146" s="239" t="s">
        <v>146</v>
      </c>
      <c r="G146" s="237"/>
      <c r="H146" s="238" t="s">
        <v>1</v>
      </c>
      <c r="I146" s="240"/>
      <c r="J146" s="237"/>
      <c r="K146" s="237"/>
      <c r="L146" s="241"/>
      <c r="M146" s="242"/>
      <c r="N146" s="243"/>
      <c r="O146" s="243"/>
      <c r="P146" s="243"/>
      <c r="Q146" s="243"/>
      <c r="R146" s="243"/>
      <c r="S146" s="243"/>
      <c r="T146" s="244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5" t="s">
        <v>142</v>
      </c>
      <c r="AU146" s="245" t="s">
        <v>91</v>
      </c>
      <c r="AV146" s="13" t="s">
        <v>89</v>
      </c>
      <c r="AW146" s="13" t="s">
        <v>36</v>
      </c>
      <c r="AX146" s="13" t="s">
        <v>81</v>
      </c>
      <c r="AY146" s="245" t="s">
        <v>130</v>
      </c>
    </row>
    <row r="147" s="13" customFormat="1">
      <c r="A147" s="13"/>
      <c r="B147" s="236"/>
      <c r="C147" s="237"/>
      <c r="D147" s="230" t="s">
        <v>142</v>
      </c>
      <c r="E147" s="238" t="s">
        <v>1</v>
      </c>
      <c r="F147" s="239" t="s">
        <v>147</v>
      </c>
      <c r="G147" s="237"/>
      <c r="H147" s="238" t="s">
        <v>1</v>
      </c>
      <c r="I147" s="240"/>
      <c r="J147" s="237"/>
      <c r="K147" s="237"/>
      <c r="L147" s="241"/>
      <c r="M147" s="242"/>
      <c r="N147" s="243"/>
      <c r="O147" s="243"/>
      <c r="P147" s="243"/>
      <c r="Q147" s="243"/>
      <c r="R147" s="243"/>
      <c r="S147" s="243"/>
      <c r="T147" s="244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5" t="s">
        <v>142</v>
      </c>
      <c r="AU147" s="245" t="s">
        <v>91</v>
      </c>
      <c r="AV147" s="13" t="s">
        <v>89</v>
      </c>
      <c r="AW147" s="13" t="s">
        <v>36</v>
      </c>
      <c r="AX147" s="13" t="s">
        <v>81</v>
      </c>
      <c r="AY147" s="245" t="s">
        <v>130</v>
      </c>
    </row>
    <row r="148" s="14" customFormat="1">
      <c r="A148" s="14"/>
      <c r="B148" s="246"/>
      <c r="C148" s="247"/>
      <c r="D148" s="230" t="s">
        <v>142</v>
      </c>
      <c r="E148" s="248" t="s">
        <v>1</v>
      </c>
      <c r="F148" s="249" t="s">
        <v>269</v>
      </c>
      <c r="G148" s="247"/>
      <c r="H148" s="250">
        <v>190.47</v>
      </c>
      <c r="I148" s="251"/>
      <c r="J148" s="247"/>
      <c r="K148" s="247"/>
      <c r="L148" s="252"/>
      <c r="M148" s="253"/>
      <c r="N148" s="254"/>
      <c r="O148" s="254"/>
      <c r="P148" s="254"/>
      <c r="Q148" s="254"/>
      <c r="R148" s="254"/>
      <c r="S148" s="254"/>
      <c r="T148" s="255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T148" s="256" t="s">
        <v>142</v>
      </c>
      <c r="AU148" s="256" t="s">
        <v>91</v>
      </c>
      <c r="AV148" s="14" t="s">
        <v>91</v>
      </c>
      <c r="AW148" s="14" t="s">
        <v>36</v>
      </c>
      <c r="AX148" s="14" t="s">
        <v>89</v>
      </c>
      <c r="AY148" s="256" t="s">
        <v>130</v>
      </c>
    </row>
    <row r="149" s="2" customFormat="1" ht="37.8" customHeight="1">
      <c r="A149" s="37"/>
      <c r="B149" s="38"/>
      <c r="C149" s="217" t="s">
        <v>270</v>
      </c>
      <c r="D149" s="217" t="s">
        <v>132</v>
      </c>
      <c r="E149" s="218" t="s">
        <v>271</v>
      </c>
      <c r="F149" s="219" t="s">
        <v>272</v>
      </c>
      <c r="G149" s="220" t="s">
        <v>240</v>
      </c>
      <c r="H149" s="221">
        <v>457.12799999999999</v>
      </c>
      <c r="I149" s="222"/>
      <c r="J149" s="223">
        <f>ROUND(I149*H149,2)</f>
        <v>0</v>
      </c>
      <c r="K149" s="219" t="s">
        <v>136</v>
      </c>
      <c r="L149" s="43"/>
      <c r="M149" s="224" t="s">
        <v>1</v>
      </c>
      <c r="N149" s="225" t="s">
        <v>46</v>
      </c>
      <c r="O149" s="90"/>
      <c r="P149" s="226">
        <f>O149*H149</f>
        <v>0</v>
      </c>
      <c r="Q149" s="226">
        <v>0</v>
      </c>
      <c r="R149" s="226">
        <f>Q149*H149</f>
        <v>0</v>
      </c>
      <c r="S149" s="226">
        <v>0</v>
      </c>
      <c r="T149" s="227">
        <f>S149*H149</f>
        <v>0</v>
      </c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R149" s="228" t="s">
        <v>137</v>
      </c>
      <c r="AT149" s="228" t="s">
        <v>132</v>
      </c>
      <c r="AU149" s="228" t="s">
        <v>91</v>
      </c>
      <c r="AY149" s="16" t="s">
        <v>130</v>
      </c>
      <c r="BE149" s="229">
        <f>IF(N149="základní",J149,0)</f>
        <v>0</v>
      </c>
      <c r="BF149" s="229">
        <f>IF(N149="snížená",J149,0)</f>
        <v>0</v>
      </c>
      <c r="BG149" s="229">
        <f>IF(N149="zákl. přenesená",J149,0)</f>
        <v>0</v>
      </c>
      <c r="BH149" s="229">
        <f>IF(N149="sníž. přenesená",J149,0)</f>
        <v>0</v>
      </c>
      <c r="BI149" s="229">
        <f>IF(N149="nulová",J149,0)</f>
        <v>0</v>
      </c>
      <c r="BJ149" s="16" t="s">
        <v>89</v>
      </c>
      <c r="BK149" s="229">
        <f>ROUND(I149*H149,2)</f>
        <v>0</v>
      </c>
      <c r="BL149" s="16" t="s">
        <v>137</v>
      </c>
      <c r="BM149" s="228" t="s">
        <v>273</v>
      </c>
    </row>
    <row r="150" s="2" customFormat="1">
      <c r="A150" s="37"/>
      <c r="B150" s="38"/>
      <c r="C150" s="39"/>
      <c r="D150" s="230" t="s">
        <v>139</v>
      </c>
      <c r="E150" s="39"/>
      <c r="F150" s="231" t="s">
        <v>274</v>
      </c>
      <c r="G150" s="39"/>
      <c r="H150" s="39"/>
      <c r="I150" s="232"/>
      <c r="J150" s="39"/>
      <c r="K150" s="39"/>
      <c r="L150" s="43"/>
      <c r="M150" s="233"/>
      <c r="N150" s="234"/>
      <c r="O150" s="90"/>
      <c r="P150" s="90"/>
      <c r="Q150" s="90"/>
      <c r="R150" s="90"/>
      <c r="S150" s="90"/>
      <c r="T150" s="91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T150" s="16" t="s">
        <v>139</v>
      </c>
      <c r="AU150" s="16" t="s">
        <v>91</v>
      </c>
    </row>
    <row r="151" s="13" customFormat="1">
      <c r="A151" s="13"/>
      <c r="B151" s="236"/>
      <c r="C151" s="237"/>
      <c r="D151" s="230" t="s">
        <v>142</v>
      </c>
      <c r="E151" s="238" t="s">
        <v>1</v>
      </c>
      <c r="F151" s="239" t="s">
        <v>275</v>
      </c>
      <c r="G151" s="237"/>
      <c r="H151" s="238" t="s">
        <v>1</v>
      </c>
      <c r="I151" s="240"/>
      <c r="J151" s="237"/>
      <c r="K151" s="237"/>
      <c r="L151" s="241"/>
      <c r="M151" s="242"/>
      <c r="N151" s="243"/>
      <c r="O151" s="243"/>
      <c r="P151" s="243"/>
      <c r="Q151" s="243"/>
      <c r="R151" s="243"/>
      <c r="S151" s="243"/>
      <c r="T151" s="244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5" t="s">
        <v>142</v>
      </c>
      <c r="AU151" s="245" t="s">
        <v>91</v>
      </c>
      <c r="AV151" s="13" t="s">
        <v>89</v>
      </c>
      <c r="AW151" s="13" t="s">
        <v>36</v>
      </c>
      <c r="AX151" s="13" t="s">
        <v>81</v>
      </c>
      <c r="AY151" s="245" t="s">
        <v>130</v>
      </c>
    </row>
    <row r="152" s="13" customFormat="1">
      <c r="A152" s="13"/>
      <c r="B152" s="236"/>
      <c r="C152" s="237"/>
      <c r="D152" s="230" t="s">
        <v>142</v>
      </c>
      <c r="E152" s="238" t="s">
        <v>1</v>
      </c>
      <c r="F152" s="239" t="s">
        <v>276</v>
      </c>
      <c r="G152" s="237"/>
      <c r="H152" s="238" t="s">
        <v>1</v>
      </c>
      <c r="I152" s="240"/>
      <c r="J152" s="237"/>
      <c r="K152" s="237"/>
      <c r="L152" s="241"/>
      <c r="M152" s="242"/>
      <c r="N152" s="243"/>
      <c r="O152" s="243"/>
      <c r="P152" s="243"/>
      <c r="Q152" s="243"/>
      <c r="R152" s="243"/>
      <c r="S152" s="243"/>
      <c r="T152" s="244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5" t="s">
        <v>142</v>
      </c>
      <c r="AU152" s="245" t="s">
        <v>91</v>
      </c>
      <c r="AV152" s="13" t="s">
        <v>89</v>
      </c>
      <c r="AW152" s="13" t="s">
        <v>36</v>
      </c>
      <c r="AX152" s="13" t="s">
        <v>81</v>
      </c>
      <c r="AY152" s="245" t="s">
        <v>130</v>
      </c>
    </row>
    <row r="153" s="13" customFormat="1">
      <c r="A153" s="13"/>
      <c r="B153" s="236"/>
      <c r="C153" s="237"/>
      <c r="D153" s="230" t="s">
        <v>142</v>
      </c>
      <c r="E153" s="238" t="s">
        <v>1</v>
      </c>
      <c r="F153" s="239" t="s">
        <v>277</v>
      </c>
      <c r="G153" s="237"/>
      <c r="H153" s="238" t="s">
        <v>1</v>
      </c>
      <c r="I153" s="240"/>
      <c r="J153" s="237"/>
      <c r="K153" s="237"/>
      <c r="L153" s="241"/>
      <c r="M153" s="242"/>
      <c r="N153" s="243"/>
      <c r="O153" s="243"/>
      <c r="P153" s="243"/>
      <c r="Q153" s="243"/>
      <c r="R153" s="243"/>
      <c r="S153" s="243"/>
      <c r="T153" s="244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5" t="s">
        <v>142</v>
      </c>
      <c r="AU153" s="245" t="s">
        <v>91</v>
      </c>
      <c r="AV153" s="13" t="s">
        <v>89</v>
      </c>
      <c r="AW153" s="13" t="s">
        <v>36</v>
      </c>
      <c r="AX153" s="13" t="s">
        <v>81</v>
      </c>
      <c r="AY153" s="245" t="s">
        <v>130</v>
      </c>
    </row>
    <row r="154" s="14" customFormat="1">
      <c r="A154" s="14"/>
      <c r="B154" s="246"/>
      <c r="C154" s="247"/>
      <c r="D154" s="230" t="s">
        <v>142</v>
      </c>
      <c r="E154" s="248" t="s">
        <v>1</v>
      </c>
      <c r="F154" s="249" t="s">
        <v>278</v>
      </c>
      <c r="G154" s="247"/>
      <c r="H154" s="250">
        <v>457.12799999999999</v>
      </c>
      <c r="I154" s="251"/>
      <c r="J154" s="247"/>
      <c r="K154" s="247"/>
      <c r="L154" s="252"/>
      <c r="M154" s="253"/>
      <c r="N154" s="254"/>
      <c r="O154" s="254"/>
      <c r="P154" s="254"/>
      <c r="Q154" s="254"/>
      <c r="R154" s="254"/>
      <c r="S154" s="254"/>
      <c r="T154" s="255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T154" s="256" t="s">
        <v>142</v>
      </c>
      <c r="AU154" s="256" t="s">
        <v>91</v>
      </c>
      <c r="AV154" s="14" t="s">
        <v>91</v>
      </c>
      <c r="AW154" s="14" t="s">
        <v>36</v>
      </c>
      <c r="AX154" s="14" t="s">
        <v>89</v>
      </c>
      <c r="AY154" s="256" t="s">
        <v>130</v>
      </c>
    </row>
    <row r="155" s="2" customFormat="1" ht="24.15" customHeight="1">
      <c r="A155" s="37"/>
      <c r="B155" s="38"/>
      <c r="C155" s="217" t="s">
        <v>279</v>
      </c>
      <c r="D155" s="217" t="s">
        <v>132</v>
      </c>
      <c r="E155" s="218" t="s">
        <v>280</v>
      </c>
      <c r="F155" s="219" t="s">
        <v>281</v>
      </c>
      <c r="G155" s="220" t="s">
        <v>135</v>
      </c>
      <c r="H155" s="221">
        <v>398.63999999999999</v>
      </c>
      <c r="I155" s="222"/>
      <c r="J155" s="223">
        <f>ROUND(I155*H155,2)</f>
        <v>0</v>
      </c>
      <c r="K155" s="219" t="s">
        <v>136</v>
      </c>
      <c r="L155" s="43"/>
      <c r="M155" s="224" t="s">
        <v>1</v>
      </c>
      <c r="N155" s="225" t="s">
        <v>46</v>
      </c>
      <c r="O155" s="90"/>
      <c r="P155" s="226">
        <f>O155*H155</f>
        <v>0</v>
      </c>
      <c r="Q155" s="226">
        <v>0</v>
      </c>
      <c r="R155" s="226">
        <f>Q155*H155</f>
        <v>0</v>
      </c>
      <c r="S155" s="226">
        <v>0</v>
      </c>
      <c r="T155" s="227">
        <f>S155*H155</f>
        <v>0</v>
      </c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R155" s="228" t="s">
        <v>137</v>
      </c>
      <c r="AT155" s="228" t="s">
        <v>132</v>
      </c>
      <c r="AU155" s="228" t="s">
        <v>91</v>
      </c>
      <c r="AY155" s="16" t="s">
        <v>130</v>
      </c>
      <c r="BE155" s="229">
        <f>IF(N155="základní",J155,0)</f>
        <v>0</v>
      </c>
      <c r="BF155" s="229">
        <f>IF(N155="snížená",J155,0)</f>
        <v>0</v>
      </c>
      <c r="BG155" s="229">
        <f>IF(N155="zákl. přenesená",J155,0)</f>
        <v>0</v>
      </c>
      <c r="BH155" s="229">
        <f>IF(N155="sníž. přenesená",J155,0)</f>
        <v>0</v>
      </c>
      <c r="BI155" s="229">
        <f>IF(N155="nulová",J155,0)</f>
        <v>0</v>
      </c>
      <c r="BJ155" s="16" t="s">
        <v>89</v>
      </c>
      <c r="BK155" s="229">
        <f>ROUND(I155*H155,2)</f>
        <v>0</v>
      </c>
      <c r="BL155" s="16" t="s">
        <v>137</v>
      </c>
      <c r="BM155" s="228" t="s">
        <v>282</v>
      </c>
    </row>
    <row r="156" s="2" customFormat="1">
      <c r="A156" s="37"/>
      <c r="B156" s="38"/>
      <c r="C156" s="39"/>
      <c r="D156" s="230" t="s">
        <v>139</v>
      </c>
      <c r="E156" s="39"/>
      <c r="F156" s="231" t="s">
        <v>281</v>
      </c>
      <c r="G156" s="39"/>
      <c r="H156" s="39"/>
      <c r="I156" s="232"/>
      <c r="J156" s="39"/>
      <c r="K156" s="39"/>
      <c r="L156" s="43"/>
      <c r="M156" s="233"/>
      <c r="N156" s="234"/>
      <c r="O156" s="90"/>
      <c r="P156" s="90"/>
      <c r="Q156" s="90"/>
      <c r="R156" s="90"/>
      <c r="S156" s="90"/>
      <c r="T156" s="91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T156" s="16" t="s">
        <v>139</v>
      </c>
      <c r="AU156" s="16" t="s">
        <v>91</v>
      </c>
    </row>
    <row r="157" s="2" customFormat="1">
      <c r="A157" s="37"/>
      <c r="B157" s="38"/>
      <c r="C157" s="39"/>
      <c r="D157" s="230" t="s">
        <v>140</v>
      </c>
      <c r="E157" s="39"/>
      <c r="F157" s="235" t="s">
        <v>283</v>
      </c>
      <c r="G157" s="39"/>
      <c r="H157" s="39"/>
      <c r="I157" s="232"/>
      <c r="J157" s="39"/>
      <c r="K157" s="39"/>
      <c r="L157" s="43"/>
      <c r="M157" s="233"/>
      <c r="N157" s="234"/>
      <c r="O157" s="90"/>
      <c r="P157" s="90"/>
      <c r="Q157" s="90"/>
      <c r="R157" s="90"/>
      <c r="S157" s="90"/>
      <c r="T157" s="91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T157" s="16" t="s">
        <v>140</v>
      </c>
      <c r="AU157" s="16" t="s">
        <v>91</v>
      </c>
    </row>
    <row r="158" s="13" customFormat="1">
      <c r="A158" s="13"/>
      <c r="B158" s="236"/>
      <c r="C158" s="237"/>
      <c r="D158" s="230" t="s">
        <v>142</v>
      </c>
      <c r="E158" s="238" t="s">
        <v>1</v>
      </c>
      <c r="F158" s="239" t="s">
        <v>284</v>
      </c>
      <c r="G158" s="237"/>
      <c r="H158" s="238" t="s">
        <v>1</v>
      </c>
      <c r="I158" s="240"/>
      <c r="J158" s="237"/>
      <c r="K158" s="237"/>
      <c r="L158" s="241"/>
      <c r="M158" s="242"/>
      <c r="N158" s="243"/>
      <c r="O158" s="243"/>
      <c r="P158" s="243"/>
      <c r="Q158" s="243"/>
      <c r="R158" s="243"/>
      <c r="S158" s="243"/>
      <c r="T158" s="244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5" t="s">
        <v>142</v>
      </c>
      <c r="AU158" s="245" t="s">
        <v>91</v>
      </c>
      <c r="AV158" s="13" t="s">
        <v>89</v>
      </c>
      <c r="AW158" s="13" t="s">
        <v>36</v>
      </c>
      <c r="AX158" s="13" t="s">
        <v>81</v>
      </c>
      <c r="AY158" s="245" t="s">
        <v>130</v>
      </c>
    </row>
    <row r="159" s="13" customFormat="1">
      <c r="A159" s="13"/>
      <c r="B159" s="236"/>
      <c r="C159" s="237"/>
      <c r="D159" s="230" t="s">
        <v>142</v>
      </c>
      <c r="E159" s="238" t="s">
        <v>1</v>
      </c>
      <c r="F159" s="239" t="s">
        <v>262</v>
      </c>
      <c r="G159" s="237"/>
      <c r="H159" s="238" t="s">
        <v>1</v>
      </c>
      <c r="I159" s="240"/>
      <c r="J159" s="237"/>
      <c r="K159" s="237"/>
      <c r="L159" s="241"/>
      <c r="M159" s="242"/>
      <c r="N159" s="243"/>
      <c r="O159" s="243"/>
      <c r="P159" s="243"/>
      <c r="Q159" s="243"/>
      <c r="R159" s="243"/>
      <c r="S159" s="243"/>
      <c r="T159" s="244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5" t="s">
        <v>142</v>
      </c>
      <c r="AU159" s="245" t="s">
        <v>91</v>
      </c>
      <c r="AV159" s="13" t="s">
        <v>89</v>
      </c>
      <c r="AW159" s="13" t="s">
        <v>36</v>
      </c>
      <c r="AX159" s="13" t="s">
        <v>81</v>
      </c>
      <c r="AY159" s="245" t="s">
        <v>130</v>
      </c>
    </row>
    <row r="160" s="13" customFormat="1">
      <c r="A160" s="13"/>
      <c r="B160" s="236"/>
      <c r="C160" s="237"/>
      <c r="D160" s="230" t="s">
        <v>142</v>
      </c>
      <c r="E160" s="238" t="s">
        <v>1</v>
      </c>
      <c r="F160" s="239" t="s">
        <v>263</v>
      </c>
      <c r="G160" s="237"/>
      <c r="H160" s="238" t="s">
        <v>1</v>
      </c>
      <c r="I160" s="240"/>
      <c r="J160" s="237"/>
      <c r="K160" s="237"/>
      <c r="L160" s="241"/>
      <c r="M160" s="242"/>
      <c r="N160" s="243"/>
      <c r="O160" s="243"/>
      <c r="P160" s="243"/>
      <c r="Q160" s="243"/>
      <c r="R160" s="243"/>
      <c r="S160" s="243"/>
      <c r="T160" s="244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5" t="s">
        <v>142</v>
      </c>
      <c r="AU160" s="245" t="s">
        <v>91</v>
      </c>
      <c r="AV160" s="13" t="s">
        <v>89</v>
      </c>
      <c r="AW160" s="13" t="s">
        <v>36</v>
      </c>
      <c r="AX160" s="13" t="s">
        <v>81</v>
      </c>
      <c r="AY160" s="245" t="s">
        <v>130</v>
      </c>
    </row>
    <row r="161" s="13" customFormat="1">
      <c r="A161" s="13"/>
      <c r="B161" s="236"/>
      <c r="C161" s="237"/>
      <c r="D161" s="230" t="s">
        <v>142</v>
      </c>
      <c r="E161" s="238" t="s">
        <v>1</v>
      </c>
      <c r="F161" s="239" t="s">
        <v>285</v>
      </c>
      <c r="G161" s="237"/>
      <c r="H161" s="238" t="s">
        <v>1</v>
      </c>
      <c r="I161" s="240"/>
      <c r="J161" s="237"/>
      <c r="K161" s="237"/>
      <c r="L161" s="241"/>
      <c r="M161" s="242"/>
      <c r="N161" s="243"/>
      <c r="O161" s="243"/>
      <c r="P161" s="243"/>
      <c r="Q161" s="243"/>
      <c r="R161" s="243"/>
      <c r="S161" s="243"/>
      <c r="T161" s="244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5" t="s">
        <v>142</v>
      </c>
      <c r="AU161" s="245" t="s">
        <v>91</v>
      </c>
      <c r="AV161" s="13" t="s">
        <v>89</v>
      </c>
      <c r="AW161" s="13" t="s">
        <v>36</v>
      </c>
      <c r="AX161" s="13" t="s">
        <v>81</v>
      </c>
      <c r="AY161" s="245" t="s">
        <v>130</v>
      </c>
    </row>
    <row r="162" s="14" customFormat="1">
      <c r="A162" s="14"/>
      <c r="B162" s="246"/>
      <c r="C162" s="247"/>
      <c r="D162" s="230" t="s">
        <v>142</v>
      </c>
      <c r="E162" s="248" t="s">
        <v>1</v>
      </c>
      <c r="F162" s="249" t="s">
        <v>286</v>
      </c>
      <c r="G162" s="247"/>
      <c r="H162" s="250">
        <v>398.63999999999999</v>
      </c>
      <c r="I162" s="251"/>
      <c r="J162" s="247"/>
      <c r="K162" s="247"/>
      <c r="L162" s="252"/>
      <c r="M162" s="253"/>
      <c r="N162" s="254"/>
      <c r="O162" s="254"/>
      <c r="P162" s="254"/>
      <c r="Q162" s="254"/>
      <c r="R162" s="254"/>
      <c r="S162" s="254"/>
      <c r="T162" s="255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T162" s="256" t="s">
        <v>142</v>
      </c>
      <c r="AU162" s="256" t="s">
        <v>91</v>
      </c>
      <c r="AV162" s="14" t="s">
        <v>91</v>
      </c>
      <c r="AW162" s="14" t="s">
        <v>36</v>
      </c>
      <c r="AX162" s="14" t="s">
        <v>89</v>
      </c>
      <c r="AY162" s="256" t="s">
        <v>130</v>
      </c>
    </row>
    <row r="163" s="2" customFormat="1" ht="24.15" customHeight="1">
      <c r="A163" s="37"/>
      <c r="B163" s="38"/>
      <c r="C163" s="217" t="s">
        <v>287</v>
      </c>
      <c r="D163" s="217" t="s">
        <v>132</v>
      </c>
      <c r="E163" s="218" t="s">
        <v>280</v>
      </c>
      <c r="F163" s="219" t="s">
        <v>281</v>
      </c>
      <c r="G163" s="220" t="s">
        <v>135</v>
      </c>
      <c r="H163" s="221">
        <v>10.75</v>
      </c>
      <c r="I163" s="222"/>
      <c r="J163" s="223">
        <f>ROUND(I163*H163,2)</f>
        <v>0</v>
      </c>
      <c r="K163" s="219" t="s">
        <v>136</v>
      </c>
      <c r="L163" s="43"/>
      <c r="M163" s="224" t="s">
        <v>1</v>
      </c>
      <c r="N163" s="225" t="s">
        <v>46</v>
      </c>
      <c r="O163" s="90"/>
      <c r="P163" s="226">
        <f>O163*H163</f>
        <v>0</v>
      </c>
      <c r="Q163" s="226">
        <v>0</v>
      </c>
      <c r="R163" s="226">
        <f>Q163*H163</f>
        <v>0</v>
      </c>
      <c r="S163" s="226">
        <v>0</v>
      </c>
      <c r="T163" s="227">
        <f>S163*H163</f>
        <v>0</v>
      </c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R163" s="228" t="s">
        <v>137</v>
      </c>
      <c r="AT163" s="228" t="s">
        <v>132</v>
      </c>
      <c r="AU163" s="228" t="s">
        <v>91</v>
      </c>
      <c r="AY163" s="16" t="s">
        <v>130</v>
      </c>
      <c r="BE163" s="229">
        <f>IF(N163="základní",J163,0)</f>
        <v>0</v>
      </c>
      <c r="BF163" s="229">
        <f>IF(N163="snížená",J163,0)</f>
        <v>0</v>
      </c>
      <c r="BG163" s="229">
        <f>IF(N163="zákl. přenesená",J163,0)</f>
        <v>0</v>
      </c>
      <c r="BH163" s="229">
        <f>IF(N163="sníž. přenesená",J163,0)</f>
        <v>0</v>
      </c>
      <c r="BI163" s="229">
        <f>IF(N163="nulová",J163,0)</f>
        <v>0</v>
      </c>
      <c r="BJ163" s="16" t="s">
        <v>89</v>
      </c>
      <c r="BK163" s="229">
        <f>ROUND(I163*H163,2)</f>
        <v>0</v>
      </c>
      <c r="BL163" s="16" t="s">
        <v>137</v>
      </c>
      <c r="BM163" s="228" t="s">
        <v>288</v>
      </c>
    </row>
    <row r="164" s="2" customFormat="1">
      <c r="A164" s="37"/>
      <c r="B164" s="38"/>
      <c r="C164" s="39"/>
      <c r="D164" s="230" t="s">
        <v>139</v>
      </c>
      <c r="E164" s="39"/>
      <c r="F164" s="231" t="s">
        <v>281</v>
      </c>
      <c r="G164" s="39"/>
      <c r="H164" s="39"/>
      <c r="I164" s="232"/>
      <c r="J164" s="39"/>
      <c r="K164" s="39"/>
      <c r="L164" s="43"/>
      <c r="M164" s="233"/>
      <c r="N164" s="234"/>
      <c r="O164" s="90"/>
      <c r="P164" s="90"/>
      <c r="Q164" s="90"/>
      <c r="R164" s="90"/>
      <c r="S164" s="90"/>
      <c r="T164" s="91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T164" s="16" t="s">
        <v>139</v>
      </c>
      <c r="AU164" s="16" t="s">
        <v>91</v>
      </c>
    </row>
    <row r="165" s="2" customFormat="1">
      <c r="A165" s="37"/>
      <c r="B165" s="38"/>
      <c r="C165" s="39"/>
      <c r="D165" s="230" t="s">
        <v>140</v>
      </c>
      <c r="E165" s="39"/>
      <c r="F165" s="235" t="s">
        <v>283</v>
      </c>
      <c r="G165" s="39"/>
      <c r="H165" s="39"/>
      <c r="I165" s="232"/>
      <c r="J165" s="39"/>
      <c r="K165" s="39"/>
      <c r="L165" s="43"/>
      <c r="M165" s="233"/>
      <c r="N165" s="234"/>
      <c r="O165" s="90"/>
      <c r="P165" s="90"/>
      <c r="Q165" s="90"/>
      <c r="R165" s="90"/>
      <c r="S165" s="90"/>
      <c r="T165" s="91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T165" s="16" t="s">
        <v>140</v>
      </c>
      <c r="AU165" s="16" t="s">
        <v>91</v>
      </c>
    </row>
    <row r="166" s="13" customFormat="1">
      <c r="A166" s="13"/>
      <c r="B166" s="236"/>
      <c r="C166" s="237"/>
      <c r="D166" s="230" t="s">
        <v>142</v>
      </c>
      <c r="E166" s="238" t="s">
        <v>1</v>
      </c>
      <c r="F166" s="239" t="s">
        <v>289</v>
      </c>
      <c r="G166" s="237"/>
      <c r="H166" s="238" t="s">
        <v>1</v>
      </c>
      <c r="I166" s="240"/>
      <c r="J166" s="237"/>
      <c r="K166" s="237"/>
      <c r="L166" s="241"/>
      <c r="M166" s="242"/>
      <c r="N166" s="243"/>
      <c r="O166" s="243"/>
      <c r="P166" s="243"/>
      <c r="Q166" s="243"/>
      <c r="R166" s="243"/>
      <c r="S166" s="243"/>
      <c r="T166" s="244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5" t="s">
        <v>142</v>
      </c>
      <c r="AU166" s="245" t="s">
        <v>91</v>
      </c>
      <c r="AV166" s="13" t="s">
        <v>89</v>
      </c>
      <c r="AW166" s="13" t="s">
        <v>36</v>
      </c>
      <c r="AX166" s="13" t="s">
        <v>81</v>
      </c>
      <c r="AY166" s="245" t="s">
        <v>130</v>
      </c>
    </row>
    <row r="167" s="13" customFormat="1">
      <c r="A167" s="13"/>
      <c r="B167" s="236"/>
      <c r="C167" s="237"/>
      <c r="D167" s="230" t="s">
        <v>142</v>
      </c>
      <c r="E167" s="238" t="s">
        <v>1</v>
      </c>
      <c r="F167" s="239" t="s">
        <v>290</v>
      </c>
      <c r="G167" s="237"/>
      <c r="H167" s="238" t="s">
        <v>1</v>
      </c>
      <c r="I167" s="240"/>
      <c r="J167" s="237"/>
      <c r="K167" s="237"/>
      <c r="L167" s="241"/>
      <c r="M167" s="242"/>
      <c r="N167" s="243"/>
      <c r="O167" s="243"/>
      <c r="P167" s="243"/>
      <c r="Q167" s="243"/>
      <c r="R167" s="243"/>
      <c r="S167" s="243"/>
      <c r="T167" s="244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5" t="s">
        <v>142</v>
      </c>
      <c r="AU167" s="245" t="s">
        <v>91</v>
      </c>
      <c r="AV167" s="13" t="s">
        <v>89</v>
      </c>
      <c r="AW167" s="13" t="s">
        <v>36</v>
      </c>
      <c r="AX167" s="13" t="s">
        <v>81</v>
      </c>
      <c r="AY167" s="245" t="s">
        <v>130</v>
      </c>
    </row>
    <row r="168" s="13" customFormat="1">
      <c r="A168" s="13"/>
      <c r="B168" s="236"/>
      <c r="C168" s="237"/>
      <c r="D168" s="230" t="s">
        <v>142</v>
      </c>
      <c r="E168" s="238" t="s">
        <v>1</v>
      </c>
      <c r="F168" s="239" t="s">
        <v>291</v>
      </c>
      <c r="G168" s="237"/>
      <c r="H168" s="238" t="s">
        <v>1</v>
      </c>
      <c r="I168" s="240"/>
      <c r="J168" s="237"/>
      <c r="K168" s="237"/>
      <c r="L168" s="241"/>
      <c r="M168" s="242"/>
      <c r="N168" s="243"/>
      <c r="O168" s="243"/>
      <c r="P168" s="243"/>
      <c r="Q168" s="243"/>
      <c r="R168" s="243"/>
      <c r="S168" s="243"/>
      <c r="T168" s="244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5" t="s">
        <v>142</v>
      </c>
      <c r="AU168" s="245" t="s">
        <v>91</v>
      </c>
      <c r="AV168" s="13" t="s">
        <v>89</v>
      </c>
      <c r="AW168" s="13" t="s">
        <v>36</v>
      </c>
      <c r="AX168" s="13" t="s">
        <v>81</v>
      </c>
      <c r="AY168" s="245" t="s">
        <v>130</v>
      </c>
    </row>
    <row r="169" s="13" customFormat="1">
      <c r="A169" s="13"/>
      <c r="B169" s="236"/>
      <c r="C169" s="237"/>
      <c r="D169" s="230" t="s">
        <v>142</v>
      </c>
      <c r="E169" s="238" t="s">
        <v>1</v>
      </c>
      <c r="F169" s="239" t="s">
        <v>292</v>
      </c>
      <c r="G169" s="237"/>
      <c r="H169" s="238" t="s">
        <v>1</v>
      </c>
      <c r="I169" s="240"/>
      <c r="J169" s="237"/>
      <c r="K169" s="237"/>
      <c r="L169" s="241"/>
      <c r="M169" s="242"/>
      <c r="N169" s="243"/>
      <c r="O169" s="243"/>
      <c r="P169" s="243"/>
      <c r="Q169" s="243"/>
      <c r="R169" s="243"/>
      <c r="S169" s="243"/>
      <c r="T169" s="244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5" t="s">
        <v>142</v>
      </c>
      <c r="AU169" s="245" t="s">
        <v>91</v>
      </c>
      <c r="AV169" s="13" t="s">
        <v>89</v>
      </c>
      <c r="AW169" s="13" t="s">
        <v>36</v>
      </c>
      <c r="AX169" s="13" t="s">
        <v>81</v>
      </c>
      <c r="AY169" s="245" t="s">
        <v>130</v>
      </c>
    </row>
    <row r="170" s="13" customFormat="1">
      <c r="A170" s="13"/>
      <c r="B170" s="236"/>
      <c r="C170" s="237"/>
      <c r="D170" s="230" t="s">
        <v>142</v>
      </c>
      <c r="E170" s="238" t="s">
        <v>1</v>
      </c>
      <c r="F170" s="239" t="s">
        <v>293</v>
      </c>
      <c r="G170" s="237"/>
      <c r="H170" s="238" t="s">
        <v>1</v>
      </c>
      <c r="I170" s="240"/>
      <c r="J170" s="237"/>
      <c r="K170" s="237"/>
      <c r="L170" s="241"/>
      <c r="M170" s="242"/>
      <c r="N170" s="243"/>
      <c r="O170" s="243"/>
      <c r="P170" s="243"/>
      <c r="Q170" s="243"/>
      <c r="R170" s="243"/>
      <c r="S170" s="243"/>
      <c r="T170" s="244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5" t="s">
        <v>142</v>
      </c>
      <c r="AU170" s="245" t="s">
        <v>91</v>
      </c>
      <c r="AV170" s="13" t="s">
        <v>89</v>
      </c>
      <c r="AW170" s="13" t="s">
        <v>36</v>
      </c>
      <c r="AX170" s="13" t="s">
        <v>81</v>
      </c>
      <c r="AY170" s="245" t="s">
        <v>130</v>
      </c>
    </row>
    <row r="171" s="13" customFormat="1">
      <c r="A171" s="13"/>
      <c r="B171" s="236"/>
      <c r="C171" s="237"/>
      <c r="D171" s="230" t="s">
        <v>142</v>
      </c>
      <c r="E171" s="238" t="s">
        <v>1</v>
      </c>
      <c r="F171" s="239" t="s">
        <v>294</v>
      </c>
      <c r="G171" s="237"/>
      <c r="H171" s="238" t="s">
        <v>1</v>
      </c>
      <c r="I171" s="240"/>
      <c r="J171" s="237"/>
      <c r="K171" s="237"/>
      <c r="L171" s="241"/>
      <c r="M171" s="242"/>
      <c r="N171" s="243"/>
      <c r="O171" s="243"/>
      <c r="P171" s="243"/>
      <c r="Q171" s="243"/>
      <c r="R171" s="243"/>
      <c r="S171" s="243"/>
      <c r="T171" s="244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5" t="s">
        <v>142</v>
      </c>
      <c r="AU171" s="245" t="s">
        <v>91</v>
      </c>
      <c r="AV171" s="13" t="s">
        <v>89</v>
      </c>
      <c r="AW171" s="13" t="s">
        <v>36</v>
      </c>
      <c r="AX171" s="13" t="s">
        <v>81</v>
      </c>
      <c r="AY171" s="245" t="s">
        <v>130</v>
      </c>
    </row>
    <row r="172" s="13" customFormat="1">
      <c r="A172" s="13"/>
      <c r="B172" s="236"/>
      <c r="C172" s="237"/>
      <c r="D172" s="230" t="s">
        <v>142</v>
      </c>
      <c r="E172" s="238" t="s">
        <v>1</v>
      </c>
      <c r="F172" s="239" t="s">
        <v>295</v>
      </c>
      <c r="G172" s="237"/>
      <c r="H172" s="238" t="s">
        <v>1</v>
      </c>
      <c r="I172" s="240"/>
      <c r="J172" s="237"/>
      <c r="K172" s="237"/>
      <c r="L172" s="241"/>
      <c r="M172" s="242"/>
      <c r="N172" s="243"/>
      <c r="O172" s="243"/>
      <c r="P172" s="243"/>
      <c r="Q172" s="243"/>
      <c r="R172" s="243"/>
      <c r="S172" s="243"/>
      <c r="T172" s="244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5" t="s">
        <v>142</v>
      </c>
      <c r="AU172" s="245" t="s">
        <v>91</v>
      </c>
      <c r="AV172" s="13" t="s">
        <v>89</v>
      </c>
      <c r="AW172" s="13" t="s">
        <v>36</v>
      </c>
      <c r="AX172" s="13" t="s">
        <v>81</v>
      </c>
      <c r="AY172" s="245" t="s">
        <v>130</v>
      </c>
    </row>
    <row r="173" s="14" customFormat="1">
      <c r="A173" s="14"/>
      <c r="B173" s="246"/>
      <c r="C173" s="247"/>
      <c r="D173" s="230" t="s">
        <v>142</v>
      </c>
      <c r="E173" s="248" t="s">
        <v>1</v>
      </c>
      <c r="F173" s="249" t="s">
        <v>296</v>
      </c>
      <c r="G173" s="247"/>
      <c r="H173" s="250">
        <v>10.75</v>
      </c>
      <c r="I173" s="251"/>
      <c r="J173" s="247"/>
      <c r="K173" s="247"/>
      <c r="L173" s="252"/>
      <c r="M173" s="253"/>
      <c r="N173" s="254"/>
      <c r="O173" s="254"/>
      <c r="P173" s="254"/>
      <c r="Q173" s="254"/>
      <c r="R173" s="254"/>
      <c r="S173" s="254"/>
      <c r="T173" s="255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T173" s="256" t="s">
        <v>142</v>
      </c>
      <c r="AU173" s="256" t="s">
        <v>91</v>
      </c>
      <c r="AV173" s="14" t="s">
        <v>91</v>
      </c>
      <c r="AW173" s="14" t="s">
        <v>36</v>
      </c>
      <c r="AX173" s="14" t="s">
        <v>89</v>
      </c>
      <c r="AY173" s="256" t="s">
        <v>130</v>
      </c>
    </row>
    <row r="174" s="2" customFormat="1" ht="24.15" customHeight="1">
      <c r="A174" s="37"/>
      <c r="B174" s="38"/>
      <c r="C174" s="217" t="s">
        <v>297</v>
      </c>
      <c r="D174" s="217" t="s">
        <v>132</v>
      </c>
      <c r="E174" s="218" t="s">
        <v>280</v>
      </c>
      <c r="F174" s="219" t="s">
        <v>281</v>
      </c>
      <c r="G174" s="220" t="s">
        <v>135</v>
      </c>
      <c r="H174" s="221">
        <v>144.96000000000001</v>
      </c>
      <c r="I174" s="222"/>
      <c r="J174" s="223">
        <f>ROUND(I174*H174,2)</f>
        <v>0</v>
      </c>
      <c r="K174" s="219" t="s">
        <v>136</v>
      </c>
      <c r="L174" s="43"/>
      <c r="M174" s="224" t="s">
        <v>1</v>
      </c>
      <c r="N174" s="225" t="s">
        <v>46</v>
      </c>
      <c r="O174" s="90"/>
      <c r="P174" s="226">
        <f>O174*H174</f>
        <v>0</v>
      </c>
      <c r="Q174" s="226">
        <v>0</v>
      </c>
      <c r="R174" s="226">
        <f>Q174*H174</f>
        <v>0</v>
      </c>
      <c r="S174" s="226">
        <v>0</v>
      </c>
      <c r="T174" s="227">
        <f>S174*H174</f>
        <v>0</v>
      </c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R174" s="228" t="s">
        <v>137</v>
      </c>
      <c r="AT174" s="228" t="s">
        <v>132</v>
      </c>
      <c r="AU174" s="228" t="s">
        <v>91</v>
      </c>
      <c r="AY174" s="16" t="s">
        <v>130</v>
      </c>
      <c r="BE174" s="229">
        <f>IF(N174="základní",J174,0)</f>
        <v>0</v>
      </c>
      <c r="BF174" s="229">
        <f>IF(N174="snížená",J174,0)</f>
        <v>0</v>
      </c>
      <c r="BG174" s="229">
        <f>IF(N174="zákl. přenesená",J174,0)</f>
        <v>0</v>
      </c>
      <c r="BH174" s="229">
        <f>IF(N174="sníž. přenesená",J174,0)</f>
        <v>0</v>
      </c>
      <c r="BI174" s="229">
        <f>IF(N174="nulová",J174,0)</f>
        <v>0</v>
      </c>
      <c r="BJ174" s="16" t="s">
        <v>89</v>
      </c>
      <c r="BK174" s="229">
        <f>ROUND(I174*H174,2)</f>
        <v>0</v>
      </c>
      <c r="BL174" s="16" t="s">
        <v>137</v>
      </c>
      <c r="BM174" s="228" t="s">
        <v>298</v>
      </c>
    </row>
    <row r="175" s="2" customFormat="1">
      <c r="A175" s="37"/>
      <c r="B175" s="38"/>
      <c r="C175" s="39"/>
      <c r="D175" s="230" t="s">
        <v>139</v>
      </c>
      <c r="E175" s="39"/>
      <c r="F175" s="231" t="s">
        <v>281</v>
      </c>
      <c r="G175" s="39"/>
      <c r="H175" s="39"/>
      <c r="I175" s="232"/>
      <c r="J175" s="39"/>
      <c r="K175" s="39"/>
      <c r="L175" s="43"/>
      <c r="M175" s="233"/>
      <c r="N175" s="234"/>
      <c r="O175" s="90"/>
      <c r="P175" s="90"/>
      <c r="Q175" s="90"/>
      <c r="R175" s="90"/>
      <c r="S175" s="90"/>
      <c r="T175" s="91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T175" s="16" t="s">
        <v>139</v>
      </c>
      <c r="AU175" s="16" t="s">
        <v>91</v>
      </c>
    </row>
    <row r="176" s="2" customFormat="1">
      <c r="A176" s="37"/>
      <c r="B176" s="38"/>
      <c r="C176" s="39"/>
      <c r="D176" s="230" t="s">
        <v>140</v>
      </c>
      <c r="E176" s="39"/>
      <c r="F176" s="235" t="s">
        <v>283</v>
      </c>
      <c r="G176" s="39"/>
      <c r="H176" s="39"/>
      <c r="I176" s="232"/>
      <c r="J176" s="39"/>
      <c r="K176" s="39"/>
      <c r="L176" s="43"/>
      <c r="M176" s="233"/>
      <c r="N176" s="234"/>
      <c r="O176" s="90"/>
      <c r="P176" s="90"/>
      <c r="Q176" s="90"/>
      <c r="R176" s="90"/>
      <c r="S176" s="90"/>
      <c r="T176" s="91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T176" s="16" t="s">
        <v>140</v>
      </c>
      <c r="AU176" s="16" t="s">
        <v>91</v>
      </c>
    </row>
    <row r="177" s="13" customFormat="1">
      <c r="A177" s="13"/>
      <c r="B177" s="236"/>
      <c r="C177" s="237"/>
      <c r="D177" s="230" t="s">
        <v>142</v>
      </c>
      <c r="E177" s="238" t="s">
        <v>1</v>
      </c>
      <c r="F177" s="239" t="s">
        <v>299</v>
      </c>
      <c r="G177" s="237"/>
      <c r="H177" s="238" t="s">
        <v>1</v>
      </c>
      <c r="I177" s="240"/>
      <c r="J177" s="237"/>
      <c r="K177" s="237"/>
      <c r="L177" s="241"/>
      <c r="M177" s="242"/>
      <c r="N177" s="243"/>
      <c r="O177" s="243"/>
      <c r="P177" s="243"/>
      <c r="Q177" s="243"/>
      <c r="R177" s="243"/>
      <c r="S177" s="243"/>
      <c r="T177" s="244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5" t="s">
        <v>142</v>
      </c>
      <c r="AU177" s="245" t="s">
        <v>91</v>
      </c>
      <c r="AV177" s="13" t="s">
        <v>89</v>
      </c>
      <c r="AW177" s="13" t="s">
        <v>36</v>
      </c>
      <c r="AX177" s="13" t="s">
        <v>81</v>
      </c>
      <c r="AY177" s="245" t="s">
        <v>130</v>
      </c>
    </row>
    <row r="178" s="13" customFormat="1">
      <c r="A178" s="13"/>
      <c r="B178" s="236"/>
      <c r="C178" s="237"/>
      <c r="D178" s="230" t="s">
        <v>142</v>
      </c>
      <c r="E178" s="238" t="s">
        <v>1</v>
      </c>
      <c r="F178" s="239" t="s">
        <v>300</v>
      </c>
      <c r="G178" s="237"/>
      <c r="H178" s="238" t="s">
        <v>1</v>
      </c>
      <c r="I178" s="240"/>
      <c r="J178" s="237"/>
      <c r="K178" s="237"/>
      <c r="L178" s="241"/>
      <c r="M178" s="242"/>
      <c r="N178" s="243"/>
      <c r="O178" s="243"/>
      <c r="P178" s="243"/>
      <c r="Q178" s="243"/>
      <c r="R178" s="243"/>
      <c r="S178" s="243"/>
      <c r="T178" s="244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5" t="s">
        <v>142</v>
      </c>
      <c r="AU178" s="245" t="s">
        <v>91</v>
      </c>
      <c r="AV178" s="13" t="s">
        <v>89</v>
      </c>
      <c r="AW178" s="13" t="s">
        <v>36</v>
      </c>
      <c r="AX178" s="13" t="s">
        <v>81</v>
      </c>
      <c r="AY178" s="245" t="s">
        <v>130</v>
      </c>
    </row>
    <row r="179" s="13" customFormat="1">
      <c r="A179" s="13"/>
      <c r="B179" s="236"/>
      <c r="C179" s="237"/>
      <c r="D179" s="230" t="s">
        <v>142</v>
      </c>
      <c r="E179" s="238" t="s">
        <v>1</v>
      </c>
      <c r="F179" s="239" t="s">
        <v>262</v>
      </c>
      <c r="G179" s="237"/>
      <c r="H179" s="238" t="s">
        <v>1</v>
      </c>
      <c r="I179" s="240"/>
      <c r="J179" s="237"/>
      <c r="K179" s="237"/>
      <c r="L179" s="241"/>
      <c r="M179" s="242"/>
      <c r="N179" s="243"/>
      <c r="O179" s="243"/>
      <c r="P179" s="243"/>
      <c r="Q179" s="243"/>
      <c r="R179" s="243"/>
      <c r="S179" s="243"/>
      <c r="T179" s="244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5" t="s">
        <v>142</v>
      </c>
      <c r="AU179" s="245" t="s">
        <v>91</v>
      </c>
      <c r="AV179" s="13" t="s">
        <v>89</v>
      </c>
      <c r="AW179" s="13" t="s">
        <v>36</v>
      </c>
      <c r="AX179" s="13" t="s">
        <v>81</v>
      </c>
      <c r="AY179" s="245" t="s">
        <v>130</v>
      </c>
    </row>
    <row r="180" s="13" customFormat="1">
      <c r="A180" s="13"/>
      <c r="B180" s="236"/>
      <c r="C180" s="237"/>
      <c r="D180" s="230" t="s">
        <v>142</v>
      </c>
      <c r="E180" s="238" t="s">
        <v>1</v>
      </c>
      <c r="F180" s="239" t="s">
        <v>263</v>
      </c>
      <c r="G180" s="237"/>
      <c r="H180" s="238" t="s">
        <v>1</v>
      </c>
      <c r="I180" s="240"/>
      <c r="J180" s="237"/>
      <c r="K180" s="237"/>
      <c r="L180" s="241"/>
      <c r="M180" s="242"/>
      <c r="N180" s="243"/>
      <c r="O180" s="243"/>
      <c r="P180" s="243"/>
      <c r="Q180" s="243"/>
      <c r="R180" s="243"/>
      <c r="S180" s="243"/>
      <c r="T180" s="244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T180" s="245" t="s">
        <v>142</v>
      </c>
      <c r="AU180" s="245" t="s">
        <v>91</v>
      </c>
      <c r="AV180" s="13" t="s">
        <v>89</v>
      </c>
      <c r="AW180" s="13" t="s">
        <v>36</v>
      </c>
      <c r="AX180" s="13" t="s">
        <v>81</v>
      </c>
      <c r="AY180" s="245" t="s">
        <v>130</v>
      </c>
    </row>
    <row r="181" s="13" customFormat="1">
      <c r="A181" s="13"/>
      <c r="B181" s="236"/>
      <c r="C181" s="237"/>
      <c r="D181" s="230" t="s">
        <v>142</v>
      </c>
      <c r="E181" s="238" t="s">
        <v>1</v>
      </c>
      <c r="F181" s="239" t="s">
        <v>301</v>
      </c>
      <c r="G181" s="237"/>
      <c r="H181" s="238" t="s">
        <v>1</v>
      </c>
      <c r="I181" s="240"/>
      <c r="J181" s="237"/>
      <c r="K181" s="237"/>
      <c r="L181" s="241"/>
      <c r="M181" s="242"/>
      <c r="N181" s="243"/>
      <c r="O181" s="243"/>
      <c r="P181" s="243"/>
      <c r="Q181" s="243"/>
      <c r="R181" s="243"/>
      <c r="S181" s="243"/>
      <c r="T181" s="244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5" t="s">
        <v>142</v>
      </c>
      <c r="AU181" s="245" t="s">
        <v>91</v>
      </c>
      <c r="AV181" s="13" t="s">
        <v>89</v>
      </c>
      <c r="AW181" s="13" t="s">
        <v>36</v>
      </c>
      <c r="AX181" s="13" t="s">
        <v>81</v>
      </c>
      <c r="AY181" s="245" t="s">
        <v>130</v>
      </c>
    </row>
    <row r="182" s="13" customFormat="1">
      <c r="A182" s="13"/>
      <c r="B182" s="236"/>
      <c r="C182" s="237"/>
      <c r="D182" s="230" t="s">
        <v>142</v>
      </c>
      <c r="E182" s="238" t="s">
        <v>1</v>
      </c>
      <c r="F182" s="239" t="s">
        <v>302</v>
      </c>
      <c r="G182" s="237"/>
      <c r="H182" s="238" t="s">
        <v>1</v>
      </c>
      <c r="I182" s="240"/>
      <c r="J182" s="237"/>
      <c r="K182" s="237"/>
      <c r="L182" s="241"/>
      <c r="M182" s="242"/>
      <c r="N182" s="243"/>
      <c r="O182" s="243"/>
      <c r="P182" s="243"/>
      <c r="Q182" s="243"/>
      <c r="R182" s="243"/>
      <c r="S182" s="243"/>
      <c r="T182" s="244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5" t="s">
        <v>142</v>
      </c>
      <c r="AU182" s="245" t="s">
        <v>91</v>
      </c>
      <c r="AV182" s="13" t="s">
        <v>89</v>
      </c>
      <c r="AW182" s="13" t="s">
        <v>36</v>
      </c>
      <c r="AX182" s="13" t="s">
        <v>81</v>
      </c>
      <c r="AY182" s="245" t="s">
        <v>130</v>
      </c>
    </row>
    <row r="183" s="14" customFormat="1">
      <c r="A183" s="14"/>
      <c r="B183" s="246"/>
      <c r="C183" s="247"/>
      <c r="D183" s="230" t="s">
        <v>142</v>
      </c>
      <c r="E183" s="248" t="s">
        <v>1</v>
      </c>
      <c r="F183" s="249" t="s">
        <v>303</v>
      </c>
      <c r="G183" s="247"/>
      <c r="H183" s="250">
        <v>144.96000000000001</v>
      </c>
      <c r="I183" s="251"/>
      <c r="J183" s="247"/>
      <c r="K183" s="247"/>
      <c r="L183" s="252"/>
      <c r="M183" s="253"/>
      <c r="N183" s="254"/>
      <c r="O183" s="254"/>
      <c r="P183" s="254"/>
      <c r="Q183" s="254"/>
      <c r="R183" s="254"/>
      <c r="S183" s="254"/>
      <c r="T183" s="255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T183" s="256" t="s">
        <v>142</v>
      </c>
      <c r="AU183" s="256" t="s">
        <v>91</v>
      </c>
      <c r="AV183" s="14" t="s">
        <v>91</v>
      </c>
      <c r="AW183" s="14" t="s">
        <v>36</v>
      </c>
      <c r="AX183" s="14" t="s">
        <v>89</v>
      </c>
      <c r="AY183" s="256" t="s">
        <v>130</v>
      </c>
    </row>
    <row r="184" s="2" customFormat="1" ht="16.5" customHeight="1">
      <c r="A184" s="37"/>
      <c r="B184" s="38"/>
      <c r="C184" s="217" t="s">
        <v>304</v>
      </c>
      <c r="D184" s="217" t="s">
        <v>132</v>
      </c>
      <c r="E184" s="218" t="s">
        <v>305</v>
      </c>
      <c r="F184" s="219" t="s">
        <v>306</v>
      </c>
      <c r="G184" s="220" t="s">
        <v>135</v>
      </c>
      <c r="H184" s="221">
        <v>1598.56</v>
      </c>
      <c r="I184" s="222"/>
      <c r="J184" s="223">
        <f>ROUND(I184*H184,2)</f>
        <v>0</v>
      </c>
      <c r="K184" s="219" t="s">
        <v>136</v>
      </c>
      <c r="L184" s="43"/>
      <c r="M184" s="224" t="s">
        <v>1</v>
      </c>
      <c r="N184" s="225" t="s">
        <v>46</v>
      </c>
      <c r="O184" s="90"/>
      <c r="P184" s="226">
        <f>O184*H184</f>
        <v>0</v>
      </c>
      <c r="Q184" s="226">
        <v>0</v>
      </c>
      <c r="R184" s="226">
        <f>Q184*H184</f>
        <v>0</v>
      </c>
      <c r="S184" s="226">
        <v>0</v>
      </c>
      <c r="T184" s="227">
        <f>S184*H184</f>
        <v>0</v>
      </c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R184" s="228" t="s">
        <v>137</v>
      </c>
      <c r="AT184" s="228" t="s">
        <v>132</v>
      </c>
      <c r="AU184" s="228" t="s">
        <v>91</v>
      </c>
      <c r="AY184" s="16" t="s">
        <v>130</v>
      </c>
      <c r="BE184" s="229">
        <f>IF(N184="základní",J184,0)</f>
        <v>0</v>
      </c>
      <c r="BF184" s="229">
        <f>IF(N184="snížená",J184,0)</f>
        <v>0</v>
      </c>
      <c r="BG184" s="229">
        <f>IF(N184="zákl. přenesená",J184,0)</f>
        <v>0</v>
      </c>
      <c r="BH184" s="229">
        <f>IF(N184="sníž. přenesená",J184,0)</f>
        <v>0</v>
      </c>
      <c r="BI184" s="229">
        <f>IF(N184="nulová",J184,0)</f>
        <v>0</v>
      </c>
      <c r="BJ184" s="16" t="s">
        <v>89</v>
      </c>
      <c r="BK184" s="229">
        <f>ROUND(I184*H184,2)</f>
        <v>0</v>
      </c>
      <c r="BL184" s="16" t="s">
        <v>137</v>
      </c>
      <c r="BM184" s="228" t="s">
        <v>307</v>
      </c>
    </row>
    <row r="185" s="2" customFormat="1">
      <c r="A185" s="37"/>
      <c r="B185" s="38"/>
      <c r="C185" s="39"/>
      <c r="D185" s="230" t="s">
        <v>139</v>
      </c>
      <c r="E185" s="39"/>
      <c r="F185" s="231" t="s">
        <v>306</v>
      </c>
      <c r="G185" s="39"/>
      <c r="H185" s="39"/>
      <c r="I185" s="232"/>
      <c r="J185" s="39"/>
      <c r="K185" s="39"/>
      <c r="L185" s="43"/>
      <c r="M185" s="233"/>
      <c r="N185" s="234"/>
      <c r="O185" s="90"/>
      <c r="P185" s="90"/>
      <c r="Q185" s="90"/>
      <c r="R185" s="90"/>
      <c r="S185" s="90"/>
      <c r="T185" s="91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T185" s="16" t="s">
        <v>139</v>
      </c>
      <c r="AU185" s="16" t="s">
        <v>91</v>
      </c>
    </row>
    <row r="186" s="2" customFormat="1">
      <c r="A186" s="37"/>
      <c r="B186" s="38"/>
      <c r="C186" s="39"/>
      <c r="D186" s="230" t="s">
        <v>140</v>
      </c>
      <c r="E186" s="39"/>
      <c r="F186" s="235" t="s">
        <v>308</v>
      </c>
      <c r="G186" s="39"/>
      <c r="H186" s="39"/>
      <c r="I186" s="232"/>
      <c r="J186" s="39"/>
      <c r="K186" s="39"/>
      <c r="L186" s="43"/>
      <c r="M186" s="233"/>
      <c r="N186" s="234"/>
      <c r="O186" s="90"/>
      <c r="P186" s="90"/>
      <c r="Q186" s="90"/>
      <c r="R186" s="90"/>
      <c r="S186" s="90"/>
      <c r="T186" s="91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T186" s="16" t="s">
        <v>140</v>
      </c>
      <c r="AU186" s="16" t="s">
        <v>91</v>
      </c>
    </row>
    <row r="187" s="13" customFormat="1">
      <c r="A187" s="13"/>
      <c r="B187" s="236"/>
      <c r="C187" s="237"/>
      <c r="D187" s="230" t="s">
        <v>142</v>
      </c>
      <c r="E187" s="238" t="s">
        <v>1</v>
      </c>
      <c r="F187" s="239" t="s">
        <v>309</v>
      </c>
      <c r="G187" s="237"/>
      <c r="H187" s="238" t="s">
        <v>1</v>
      </c>
      <c r="I187" s="240"/>
      <c r="J187" s="237"/>
      <c r="K187" s="237"/>
      <c r="L187" s="241"/>
      <c r="M187" s="242"/>
      <c r="N187" s="243"/>
      <c r="O187" s="243"/>
      <c r="P187" s="243"/>
      <c r="Q187" s="243"/>
      <c r="R187" s="243"/>
      <c r="S187" s="243"/>
      <c r="T187" s="244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5" t="s">
        <v>142</v>
      </c>
      <c r="AU187" s="245" t="s">
        <v>91</v>
      </c>
      <c r="AV187" s="13" t="s">
        <v>89</v>
      </c>
      <c r="AW187" s="13" t="s">
        <v>36</v>
      </c>
      <c r="AX187" s="13" t="s">
        <v>81</v>
      </c>
      <c r="AY187" s="245" t="s">
        <v>130</v>
      </c>
    </row>
    <row r="188" s="13" customFormat="1">
      <c r="A188" s="13"/>
      <c r="B188" s="236"/>
      <c r="C188" s="237"/>
      <c r="D188" s="230" t="s">
        <v>142</v>
      </c>
      <c r="E188" s="238" t="s">
        <v>1</v>
      </c>
      <c r="F188" s="239" t="s">
        <v>310</v>
      </c>
      <c r="G188" s="237"/>
      <c r="H188" s="238" t="s">
        <v>1</v>
      </c>
      <c r="I188" s="240"/>
      <c r="J188" s="237"/>
      <c r="K188" s="237"/>
      <c r="L188" s="241"/>
      <c r="M188" s="242"/>
      <c r="N188" s="243"/>
      <c r="O188" s="243"/>
      <c r="P188" s="243"/>
      <c r="Q188" s="243"/>
      <c r="R188" s="243"/>
      <c r="S188" s="243"/>
      <c r="T188" s="244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5" t="s">
        <v>142</v>
      </c>
      <c r="AU188" s="245" t="s">
        <v>91</v>
      </c>
      <c r="AV188" s="13" t="s">
        <v>89</v>
      </c>
      <c r="AW188" s="13" t="s">
        <v>36</v>
      </c>
      <c r="AX188" s="13" t="s">
        <v>81</v>
      </c>
      <c r="AY188" s="245" t="s">
        <v>130</v>
      </c>
    </row>
    <row r="189" s="14" customFormat="1">
      <c r="A189" s="14"/>
      <c r="B189" s="246"/>
      <c r="C189" s="247"/>
      <c r="D189" s="230" t="s">
        <v>142</v>
      </c>
      <c r="E189" s="248" t="s">
        <v>1</v>
      </c>
      <c r="F189" s="249" t="s">
        <v>311</v>
      </c>
      <c r="G189" s="247"/>
      <c r="H189" s="250">
        <v>1598.56</v>
      </c>
      <c r="I189" s="251"/>
      <c r="J189" s="247"/>
      <c r="K189" s="247"/>
      <c r="L189" s="252"/>
      <c r="M189" s="253"/>
      <c r="N189" s="254"/>
      <c r="O189" s="254"/>
      <c r="P189" s="254"/>
      <c r="Q189" s="254"/>
      <c r="R189" s="254"/>
      <c r="S189" s="254"/>
      <c r="T189" s="255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T189" s="256" t="s">
        <v>142</v>
      </c>
      <c r="AU189" s="256" t="s">
        <v>91</v>
      </c>
      <c r="AV189" s="14" t="s">
        <v>91</v>
      </c>
      <c r="AW189" s="14" t="s">
        <v>36</v>
      </c>
      <c r="AX189" s="14" t="s">
        <v>89</v>
      </c>
      <c r="AY189" s="256" t="s">
        <v>130</v>
      </c>
    </row>
    <row r="190" s="2" customFormat="1" ht="16.5" customHeight="1">
      <c r="A190" s="37"/>
      <c r="B190" s="38"/>
      <c r="C190" s="217" t="s">
        <v>312</v>
      </c>
      <c r="D190" s="217" t="s">
        <v>132</v>
      </c>
      <c r="E190" s="218" t="s">
        <v>305</v>
      </c>
      <c r="F190" s="219" t="s">
        <v>306</v>
      </c>
      <c r="G190" s="220" t="s">
        <v>135</v>
      </c>
      <c r="H190" s="221">
        <v>43</v>
      </c>
      <c r="I190" s="222"/>
      <c r="J190" s="223">
        <f>ROUND(I190*H190,2)</f>
        <v>0</v>
      </c>
      <c r="K190" s="219" t="s">
        <v>136</v>
      </c>
      <c r="L190" s="43"/>
      <c r="M190" s="224" t="s">
        <v>1</v>
      </c>
      <c r="N190" s="225" t="s">
        <v>46</v>
      </c>
      <c r="O190" s="90"/>
      <c r="P190" s="226">
        <f>O190*H190</f>
        <v>0</v>
      </c>
      <c r="Q190" s="226">
        <v>0</v>
      </c>
      <c r="R190" s="226">
        <f>Q190*H190</f>
        <v>0</v>
      </c>
      <c r="S190" s="226">
        <v>0</v>
      </c>
      <c r="T190" s="227">
        <f>S190*H190</f>
        <v>0</v>
      </c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R190" s="228" t="s">
        <v>137</v>
      </c>
      <c r="AT190" s="228" t="s">
        <v>132</v>
      </c>
      <c r="AU190" s="228" t="s">
        <v>91</v>
      </c>
      <c r="AY190" s="16" t="s">
        <v>130</v>
      </c>
      <c r="BE190" s="229">
        <f>IF(N190="základní",J190,0)</f>
        <v>0</v>
      </c>
      <c r="BF190" s="229">
        <f>IF(N190="snížená",J190,0)</f>
        <v>0</v>
      </c>
      <c r="BG190" s="229">
        <f>IF(N190="zákl. přenesená",J190,0)</f>
        <v>0</v>
      </c>
      <c r="BH190" s="229">
        <f>IF(N190="sníž. přenesená",J190,0)</f>
        <v>0</v>
      </c>
      <c r="BI190" s="229">
        <f>IF(N190="nulová",J190,0)</f>
        <v>0</v>
      </c>
      <c r="BJ190" s="16" t="s">
        <v>89</v>
      </c>
      <c r="BK190" s="229">
        <f>ROUND(I190*H190,2)</f>
        <v>0</v>
      </c>
      <c r="BL190" s="16" t="s">
        <v>137</v>
      </c>
      <c r="BM190" s="228" t="s">
        <v>313</v>
      </c>
    </row>
    <row r="191" s="2" customFormat="1">
      <c r="A191" s="37"/>
      <c r="B191" s="38"/>
      <c r="C191" s="39"/>
      <c r="D191" s="230" t="s">
        <v>139</v>
      </c>
      <c r="E191" s="39"/>
      <c r="F191" s="231" t="s">
        <v>306</v>
      </c>
      <c r="G191" s="39"/>
      <c r="H191" s="39"/>
      <c r="I191" s="232"/>
      <c r="J191" s="39"/>
      <c r="K191" s="39"/>
      <c r="L191" s="43"/>
      <c r="M191" s="233"/>
      <c r="N191" s="234"/>
      <c r="O191" s="90"/>
      <c r="P191" s="90"/>
      <c r="Q191" s="90"/>
      <c r="R191" s="90"/>
      <c r="S191" s="90"/>
      <c r="T191" s="91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T191" s="16" t="s">
        <v>139</v>
      </c>
      <c r="AU191" s="16" t="s">
        <v>91</v>
      </c>
    </row>
    <row r="192" s="2" customFormat="1">
      <c r="A192" s="37"/>
      <c r="B192" s="38"/>
      <c r="C192" s="39"/>
      <c r="D192" s="230" t="s">
        <v>140</v>
      </c>
      <c r="E192" s="39"/>
      <c r="F192" s="235" t="s">
        <v>308</v>
      </c>
      <c r="G192" s="39"/>
      <c r="H192" s="39"/>
      <c r="I192" s="232"/>
      <c r="J192" s="39"/>
      <c r="K192" s="39"/>
      <c r="L192" s="43"/>
      <c r="M192" s="233"/>
      <c r="N192" s="234"/>
      <c r="O192" s="90"/>
      <c r="P192" s="90"/>
      <c r="Q192" s="90"/>
      <c r="R192" s="90"/>
      <c r="S192" s="90"/>
      <c r="T192" s="91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T192" s="16" t="s">
        <v>140</v>
      </c>
      <c r="AU192" s="16" t="s">
        <v>91</v>
      </c>
    </row>
    <row r="193" s="13" customFormat="1">
      <c r="A193" s="13"/>
      <c r="B193" s="236"/>
      <c r="C193" s="237"/>
      <c r="D193" s="230" t="s">
        <v>142</v>
      </c>
      <c r="E193" s="238" t="s">
        <v>1</v>
      </c>
      <c r="F193" s="239" t="s">
        <v>314</v>
      </c>
      <c r="G193" s="237"/>
      <c r="H193" s="238" t="s">
        <v>1</v>
      </c>
      <c r="I193" s="240"/>
      <c r="J193" s="237"/>
      <c r="K193" s="237"/>
      <c r="L193" s="241"/>
      <c r="M193" s="242"/>
      <c r="N193" s="243"/>
      <c r="O193" s="243"/>
      <c r="P193" s="243"/>
      <c r="Q193" s="243"/>
      <c r="R193" s="243"/>
      <c r="S193" s="243"/>
      <c r="T193" s="244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5" t="s">
        <v>142</v>
      </c>
      <c r="AU193" s="245" t="s">
        <v>91</v>
      </c>
      <c r="AV193" s="13" t="s">
        <v>89</v>
      </c>
      <c r="AW193" s="13" t="s">
        <v>36</v>
      </c>
      <c r="AX193" s="13" t="s">
        <v>81</v>
      </c>
      <c r="AY193" s="245" t="s">
        <v>130</v>
      </c>
    </row>
    <row r="194" s="13" customFormat="1">
      <c r="A194" s="13"/>
      <c r="B194" s="236"/>
      <c r="C194" s="237"/>
      <c r="D194" s="230" t="s">
        <v>142</v>
      </c>
      <c r="E194" s="238" t="s">
        <v>1</v>
      </c>
      <c r="F194" s="239" t="s">
        <v>310</v>
      </c>
      <c r="G194" s="237"/>
      <c r="H194" s="238" t="s">
        <v>1</v>
      </c>
      <c r="I194" s="240"/>
      <c r="J194" s="237"/>
      <c r="K194" s="237"/>
      <c r="L194" s="241"/>
      <c r="M194" s="242"/>
      <c r="N194" s="243"/>
      <c r="O194" s="243"/>
      <c r="P194" s="243"/>
      <c r="Q194" s="243"/>
      <c r="R194" s="243"/>
      <c r="S194" s="243"/>
      <c r="T194" s="244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5" t="s">
        <v>142</v>
      </c>
      <c r="AU194" s="245" t="s">
        <v>91</v>
      </c>
      <c r="AV194" s="13" t="s">
        <v>89</v>
      </c>
      <c r="AW194" s="13" t="s">
        <v>36</v>
      </c>
      <c r="AX194" s="13" t="s">
        <v>81</v>
      </c>
      <c r="AY194" s="245" t="s">
        <v>130</v>
      </c>
    </row>
    <row r="195" s="14" customFormat="1">
      <c r="A195" s="14"/>
      <c r="B195" s="246"/>
      <c r="C195" s="247"/>
      <c r="D195" s="230" t="s">
        <v>142</v>
      </c>
      <c r="E195" s="248" t="s">
        <v>1</v>
      </c>
      <c r="F195" s="249" t="s">
        <v>315</v>
      </c>
      <c r="G195" s="247"/>
      <c r="H195" s="250">
        <v>43</v>
      </c>
      <c r="I195" s="251"/>
      <c r="J195" s="247"/>
      <c r="K195" s="247"/>
      <c r="L195" s="252"/>
      <c r="M195" s="253"/>
      <c r="N195" s="254"/>
      <c r="O195" s="254"/>
      <c r="P195" s="254"/>
      <c r="Q195" s="254"/>
      <c r="R195" s="254"/>
      <c r="S195" s="254"/>
      <c r="T195" s="255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T195" s="256" t="s">
        <v>142</v>
      </c>
      <c r="AU195" s="256" t="s">
        <v>91</v>
      </c>
      <c r="AV195" s="14" t="s">
        <v>91</v>
      </c>
      <c r="AW195" s="14" t="s">
        <v>36</v>
      </c>
      <c r="AX195" s="14" t="s">
        <v>89</v>
      </c>
      <c r="AY195" s="256" t="s">
        <v>130</v>
      </c>
    </row>
    <row r="196" s="2" customFormat="1" ht="16.5" customHeight="1">
      <c r="A196" s="37"/>
      <c r="B196" s="38"/>
      <c r="C196" s="217" t="s">
        <v>316</v>
      </c>
      <c r="D196" s="217" t="s">
        <v>132</v>
      </c>
      <c r="E196" s="218" t="s">
        <v>305</v>
      </c>
      <c r="F196" s="219" t="s">
        <v>306</v>
      </c>
      <c r="G196" s="220" t="s">
        <v>135</v>
      </c>
      <c r="H196" s="221">
        <v>579.84000000000003</v>
      </c>
      <c r="I196" s="222"/>
      <c r="J196" s="223">
        <f>ROUND(I196*H196,2)</f>
        <v>0</v>
      </c>
      <c r="K196" s="219" t="s">
        <v>136</v>
      </c>
      <c r="L196" s="43"/>
      <c r="M196" s="224" t="s">
        <v>1</v>
      </c>
      <c r="N196" s="225" t="s">
        <v>46</v>
      </c>
      <c r="O196" s="90"/>
      <c r="P196" s="226">
        <f>O196*H196</f>
        <v>0</v>
      </c>
      <c r="Q196" s="226">
        <v>0</v>
      </c>
      <c r="R196" s="226">
        <f>Q196*H196</f>
        <v>0</v>
      </c>
      <c r="S196" s="226">
        <v>0</v>
      </c>
      <c r="T196" s="227">
        <f>S196*H196</f>
        <v>0</v>
      </c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R196" s="228" t="s">
        <v>137</v>
      </c>
      <c r="AT196" s="228" t="s">
        <v>132</v>
      </c>
      <c r="AU196" s="228" t="s">
        <v>91</v>
      </c>
      <c r="AY196" s="16" t="s">
        <v>130</v>
      </c>
      <c r="BE196" s="229">
        <f>IF(N196="základní",J196,0)</f>
        <v>0</v>
      </c>
      <c r="BF196" s="229">
        <f>IF(N196="snížená",J196,0)</f>
        <v>0</v>
      </c>
      <c r="BG196" s="229">
        <f>IF(N196="zákl. přenesená",J196,0)</f>
        <v>0</v>
      </c>
      <c r="BH196" s="229">
        <f>IF(N196="sníž. přenesená",J196,0)</f>
        <v>0</v>
      </c>
      <c r="BI196" s="229">
        <f>IF(N196="nulová",J196,0)</f>
        <v>0</v>
      </c>
      <c r="BJ196" s="16" t="s">
        <v>89</v>
      </c>
      <c r="BK196" s="229">
        <f>ROUND(I196*H196,2)</f>
        <v>0</v>
      </c>
      <c r="BL196" s="16" t="s">
        <v>137</v>
      </c>
      <c r="BM196" s="228" t="s">
        <v>317</v>
      </c>
    </row>
    <row r="197" s="2" customFormat="1">
      <c r="A197" s="37"/>
      <c r="B197" s="38"/>
      <c r="C197" s="39"/>
      <c r="D197" s="230" t="s">
        <v>139</v>
      </c>
      <c r="E197" s="39"/>
      <c r="F197" s="231" t="s">
        <v>306</v>
      </c>
      <c r="G197" s="39"/>
      <c r="H197" s="39"/>
      <c r="I197" s="232"/>
      <c r="J197" s="39"/>
      <c r="K197" s="39"/>
      <c r="L197" s="43"/>
      <c r="M197" s="233"/>
      <c r="N197" s="234"/>
      <c r="O197" s="90"/>
      <c r="P197" s="90"/>
      <c r="Q197" s="90"/>
      <c r="R197" s="90"/>
      <c r="S197" s="90"/>
      <c r="T197" s="91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T197" s="16" t="s">
        <v>139</v>
      </c>
      <c r="AU197" s="16" t="s">
        <v>91</v>
      </c>
    </row>
    <row r="198" s="2" customFormat="1">
      <c r="A198" s="37"/>
      <c r="B198" s="38"/>
      <c r="C198" s="39"/>
      <c r="D198" s="230" t="s">
        <v>140</v>
      </c>
      <c r="E198" s="39"/>
      <c r="F198" s="235" t="s">
        <v>308</v>
      </c>
      <c r="G198" s="39"/>
      <c r="H198" s="39"/>
      <c r="I198" s="232"/>
      <c r="J198" s="39"/>
      <c r="K198" s="39"/>
      <c r="L198" s="43"/>
      <c r="M198" s="233"/>
      <c r="N198" s="234"/>
      <c r="O198" s="90"/>
      <c r="P198" s="90"/>
      <c r="Q198" s="90"/>
      <c r="R198" s="90"/>
      <c r="S198" s="90"/>
      <c r="T198" s="91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T198" s="16" t="s">
        <v>140</v>
      </c>
      <c r="AU198" s="16" t="s">
        <v>91</v>
      </c>
    </row>
    <row r="199" s="13" customFormat="1">
      <c r="A199" s="13"/>
      <c r="B199" s="236"/>
      <c r="C199" s="237"/>
      <c r="D199" s="230" t="s">
        <v>142</v>
      </c>
      <c r="E199" s="238" t="s">
        <v>1</v>
      </c>
      <c r="F199" s="239" t="s">
        <v>318</v>
      </c>
      <c r="G199" s="237"/>
      <c r="H199" s="238" t="s">
        <v>1</v>
      </c>
      <c r="I199" s="240"/>
      <c r="J199" s="237"/>
      <c r="K199" s="237"/>
      <c r="L199" s="241"/>
      <c r="M199" s="242"/>
      <c r="N199" s="243"/>
      <c r="O199" s="243"/>
      <c r="P199" s="243"/>
      <c r="Q199" s="243"/>
      <c r="R199" s="243"/>
      <c r="S199" s="243"/>
      <c r="T199" s="244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5" t="s">
        <v>142</v>
      </c>
      <c r="AU199" s="245" t="s">
        <v>91</v>
      </c>
      <c r="AV199" s="13" t="s">
        <v>89</v>
      </c>
      <c r="AW199" s="13" t="s">
        <v>36</v>
      </c>
      <c r="AX199" s="13" t="s">
        <v>81</v>
      </c>
      <c r="AY199" s="245" t="s">
        <v>130</v>
      </c>
    </row>
    <row r="200" s="13" customFormat="1">
      <c r="A200" s="13"/>
      <c r="B200" s="236"/>
      <c r="C200" s="237"/>
      <c r="D200" s="230" t="s">
        <v>142</v>
      </c>
      <c r="E200" s="238" t="s">
        <v>1</v>
      </c>
      <c r="F200" s="239" t="s">
        <v>310</v>
      </c>
      <c r="G200" s="237"/>
      <c r="H200" s="238" t="s">
        <v>1</v>
      </c>
      <c r="I200" s="240"/>
      <c r="J200" s="237"/>
      <c r="K200" s="237"/>
      <c r="L200" s="241"/>
      <c r="M200" s="242"/>
      <c r="N200" s="243"/>
      <c r="O200" s="243"/>
      <c r="P200" s="243"/>
      <c r="Q200" s="243"/>
      <c r="R200" s="243"/>
      <c r="S200" s="243"/>
      <c r="T200" s="244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T200" s="245" t="s">
        <v>142</v>
      </c>
      <c r="AU200" s="245" t="s">
        <v>91</v>
      </c>
      <c r="AV200" s="13" t="s">
        <v>89</v>
      </c>
      <c r="AW200" s="13" t="s">
        <v>36</v>
      </c>
      <c r="AX200" s="13" t="s">
        <v>81</v>
      </c>
      <c r="AY200" s="245" t="s">
        <v>130</v>
      </c>
    </row>
    <row r="201" s="14" customFormat="1">
      <c r="A201" s="14"/>
      <c r="B201" s="246"/>
      <c r="C201" s="247"/>
      <c r="D201" s="230" t="s">
        <v>142</v>
      </c>
      <c r="E201" s="248" t="s">
        <v>1</v>
      </c>
      <c r="F201" s="249" t="s">
        <v>319</v>
      </c>
      <c r="G201" s="247"/>
      <c r="H201" s="250">
        <v>579.84000000000003</v>
      </c>
      <c r="I201" s="251"/>
      <c r="J201" s="247"/>
      <c r="K201" s="247"/>
      <c r="L201" s="252"/>
      <c r="M201" s="253"/>
      <c r="N201" s="254"/>
      <c r="O201" s="254"/>
      <c r="P201" s="254"/>
      <c r="Q201" s="254"/>
      <c r="R201" s="254"/>
      <c r="S201" s="254"/>
      <c r="T201" s="255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T201" s="256" t="s">
        <v>142</v>
      </c>
      <c r="AU201" s="256" t="s">
        <v>91</v>
      </c>
      <c r="AV201" s="14" t="s">
        <v>91</v>
      </c>
      <c r="AW201" s="14" t="s">
        <v>36</v>
      </c>
      <c r="AX201" s="14" t="s">
        <v>89</v>
      </c>
      <c r="AY201" s="256" t="s">
        <v>130</v>
      </c>
    </row>
    <row r="202" s="2" customFormat="1" ht="16.5" customHeight="1">
      <c r="A202" s="37"/>
      <c r="B202" s="38"/>
      <c r="C202" s="217" t="s">
        <v>149</v>
      </c>
      <c r="D202" s="217" t="s">
        <v>132</v>
      </c>
      <c r="E202" s="218" t="s">
        <v>150</v>
      </c>
      <c r="F202" s="219" t="s">
        <v>151</v>
      </c>
      <c r="G202" s="220" t="s">
        <v>152</v>
      </c>
      <c r="H202" s="221">
        <v>417</v>
      </c>
      <c r="I202" s="222"/>
      <c r="J202" s="223">
        <f>ROUND(I202*H202,2)</f>
        <v>0</v>
      </c>
      <c r="K202" s="219" t="s">
        <v>136</v>
      </c>
      <c r="L202" s="43"/>
      <c r="M202" s="224" t="s">
        <v>1</v>
      </c>
      <c r="N202" s="225" t="s">
        <v>46</v>
      </c>
      <c r="O202" s="90"/>
      <c r="P202" s="226">
        <f>O202*H202</f>
        <v>0</v>
      </c>
      <c r="Q202" s="226">
        <v>0</v>
      </c>
      <c r="R202" s="226">
        <f>Q202*H202</f>
        <v>0</v>
      </c>
      <c r="S202" s="226">
        <v>0</v>
      </c>
      <c r="T202" s="227">
        <f>S202*H202</f>
        <v>0</v>
      </c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R202" s="228" t="s">
        <v>137</v>
      </c>
      <c r="AT202" s="228" t="s">
        <v>132</v>
      </c>
      <c r="AU202" s="228" t="s">
        <v>91</v>
      </c>
      <c r="AY202" s="16" t="s">
        <v>130</v>
      </c>
      <c r="BE202" s="229">
        <f>IF(N202="základní",J202,0)</f>
        <v>0</v>
      </c>
      <c r="BF202" s="229">
        <f>IF(N202="snížená",J202,0)</f>
        <v>0</v>
      </c>
      <c r="BG202" s="229">
        <f>IF(N202="zákl. přenesená",J202,0)</f>
        <v>0</v>
      </c>
      <c r="BH202" s="229">
        <f>IF(N202="sníž. přenesená",J202,0)</f>
        <v>0</v>
      </c>
      <c r="BI202" s="229">
        <f>IF(N202="nulová",J202,0)</f>
        <v>0</v>
      </c>
      <c r="BJ202" s="16" t="s">
        <v>89</v>
      </c>
      <c r="BK202" s="229">
        <f>ROUND(I202*H202,2)</f>
        <v>0</v>
      </c>
      <c r="BL202" s="16" t="s">
        <v>137</v>
      </c>
      <c r="BM202" s="228" t="s">
        <v>153</v>
      </c>
    </row>
    <row r="203" s="2" customFormat="1">
      <c r="A203" s="37"/>
      <c r="B203" s="38"/>
      <c r="C203" s="39"/>
      <c r="D203" s="230" t="s">
        <v>139</v>
      </c>
      <c r="E203" s="39"/>
      <c r="F203" s="231" t="s">
        <v>151</v>
      </c>
      <c r="G203" s="39"/>
      <c r="H203" s="39"/>
      <c r="I203" s="232"/>
      <c r="J203" s="39"/>
      <c r="K203" s="39"/>
      <c r="L203" s="43"/>
      <c r="M203" s="233"/>
      <c r="N203" s="234"/>
      <c r="O203" s="90"/>
      <c r="P203" s="90"/>
      <c r="Q203" s="90"/>
      <c r="R203" s="90"/>
      <c r="S203" s="90"/>
      <c r="T203" s="91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T203" s="16" t="s">
        <v>139</v>
      </c>
      <c r="AU203" s="16" t="s">
        <v>91</v>
      </c>
    </row>
    <row r="204" s="2" customFormat="1">
      <c r="A204" s="37"/>
      <c r="B204" s="38"/>
      <c r="C204" s="39"/>
      <c r="D204" s="230" t="s">
        <v>140</v>
      </c>
      <c r="E204" s="39"/>
      <c r="F204" s="235" t="s">
        <v>154</v>
      </c>
      <c r="G204" s="39"/>
      <c r="H204" s="39"/>
      <c r="I204" s="232"/>
      <c r="J204" s="39"/>
      <c r="K204" s="39"/>
      <c r="L204" s="43"/>
      <c r="M204" s="233"/>
      <c r="N204" s="234"/>
      <c r="O204" s="90"/>
      <c r="P204" s="90"/>
      <c r="Q204" s="90"/>
      <c r="R204" s="90"/>
      <c r="S204" s="90"/>
      <c r="T204" s="91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T204" s="16" t="s">
        <v>140</v>
      </c>
      <c r="AU204" s="16" t="s">
        <v>91</v>
      </c>
    </row>
    <row r="205" s="13" customFormat="1">
      <c r="A205" s="13"/>
      <c r="B205" s="236"/>
      <c r="C205" s="237"/>
      <c r="D205" s="230" t="s">
        <v>142</v>
      </c>
      <c r="E205" s="238" t="s">
        <v>1</v>
      </c>
      <c r="F205" s="239" t="s">
        <v>165</v>
      </c>
      <c r="G205" s="237"/>
      <c r="H205" s="238" t="s">
        <v>1</v>
      </c>
      <c r="I205" s="240"/>
      <c r="J205" s="237"/>
      <c r="K205" s="237"/>
      <c r="L205" s="241"/>
      <c r="M205" s="242"/>
      <c r="N205" s="243"/>
      <c r="O205" s="243"/>
      <c r="P205" s="243"/>
      <c r="Q205" s="243"/>
      <c r="R205" s="243"/>
      <c r="S205" s="243"/>
      <c r="T205" s="244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5" t="s">
        <v>142</v>
      </c>
      <c r="AU205" s="245" t="s">
        <v>91</v>
      </c>
      <c r="AV205" s="13" t="s">
        <v>89</v>
      </c>
      <c r="AW205" s="13" t="s">
        <v>36</v>
      </c>
      <c r="AX205" s="13" t="s">
        <v>81</v>
      </c>
      <c r="AY205" s="245" t="s">
        <v>130</v>
      </c>
    </row>
    <row r="206" s="13" customFormat="1">
      <c r="A206" s="13"/>
      <c r="B206" s="236"/>
      <c r="C206" s="237"/>
      <c r="D206" s="230" t="s">
        <v>142</v>
      </c>
      <c r="E206" s="238" t="s">
        <v>1</v>
      </c>
      <c r="F206" s="239" t="s">
        <v>320</v>
      </c>
      <c r="G206" s="237"/>
      <c r="H206" s="238" t="s">
        <v>1</v>
      </c>
      <c r="I206" s="240"/>
      <c r="J206" s="237"/>
      <c r="K206" s="237"/>
      <c r="L206" s="241"/>
      <c r="M206" s="242"/>
      <c r="N206" s="243"/>
      <c r="O206" s="243"/>
      <c r="P206" s="243"/>
      <c r="Q206" s="243"/>
      <c r="R206" s="243"/>
      <c r="S206" s="243"/>
      <c r="T206" s="244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45" t="s">
        <v>142</v>
      </c>
      <c r="AU206" s="245" t="s">
        <v>91</v>
      </c>
      <c r="AV206" s="13" t="s">
        <v>89</v>
      </c>
      <c r="AW206" s="13" t="s">
        <v>36</v>
      </c>
      <c r="AX206" s="13" t="s">
        <v>81</v>
      </c>
      <c r="AY206" s="245" t="s">
        <v>130</v>
      </c>
    </row>
    <row r="207" s="13" customFormat="1">
      <c r="A207" s="13"/>
      <c r="B207" s="236"/>
      <c r="C207" s="237"/>
      <c r="D207" s="230" t="s">
        <v>142</v>
      </c>
      <c r="E207" s="238" t="s">
        <v>1</v>
      </c>
      <c r="F207" s="239" t="s">
        <v>158</v>
      </c>
      <c r="G207" s="237"/>
      <c r="H207" s="238" t="s">
        <v>1</v>
      </c>
      <c r="I207" s="240"/>
      <c r="J207" s="237"/>
      <c r="K207" s="237"/>
      <c r="L207" s="241"/>
      <c r="M207" s="242"/>
      <c r="N207" s="243"/>
      <c r="O207" s="243"/>
      <c r="P207" s="243"/>
      <c r="Q207" s="243"/>
      <c r="R207" s="243"/>
      <c r="S207" s="243"/>
      <c r="T207" s="244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5" t="s">
        <v>142</v>
      </c>
      <c r="AU207" s="245" t="s">
        <v>91</v>
      </c>
      <c r="AV207" s="13" t="s">
        <v>89</v>
      </c>
      <c r="AW207" s="13" t="s">
        <v>36</v>
      </c>
      <c r="AX207" s="13" t="s">
        <v>81</v>
      </c>
      <c r="AY207" s="245" t="s">
        <v>130</v>
      </c>
    </row>
    <row r="208" s="14" customFormat="1">
      <c r="A208" s="14"/>
      <c r="B208" s="246"/>
      <c r="C208" s="247"/>
      <c r="D208" s="230" t="s">
        <v>142</v>
      </c>
      <c r="E208" s="248" t="s">
        <v>1</v>
      </c>
      <c r="F208" s="249" t="s">
        <v>321</v>
      </c>
      <c r="G208" s="247"/>
      <c r="H208" s="250">
        <v>417</v>
      </c>
      <c r="I208" s="251"/>
      <c r="J208" s="247"/>
      <c r="K208" s="247"/>
      <c r="L208" s="252"/>
      <c r="M208" s="253"/>
      <c r="N208" s="254"/>
      <c r="O208" s="254"/>
      <c r="P208" s="254"/>
      <c r="Q208" s="254"/>
      <c r="R208" s="254"/>
      <c r="S208" s="254"/>
      <c r="T208" s="255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T208" s="256" t="s">
        <v>142</v>
      </c>
      <c r="AU208" s="256" t="s">
        <v>91</v>
      </c>
      <c r="AV208" s="14" t="s">
        <v>91</v>
      </c>
      <c r="AW208" s="14" t="s">
        <v>36</v>
      </c>
      <c r="AX208" s="14" t="s">
        <v>89</v>
      </c>
      <c r="AY208" s="256" t="s">
        <v>130</v>
      </c>
    </row>
    <row r="209" s="2" customFormat="1" ht="16.5" customHeight="1">
      <c r="A209" s="37"/>
      <c r="B209" s="38"/>
      <c r="C209" s="217" t="s">
        <v>160</v>
      </c>
      <c r="D209" s="217" t="s">
        <v>132</v>
      </c>
      <c r="E209" s="218" t="s">
        <v>161</v>
      </c>
      <c r="F209" s="219" t="s">
        <v>162</v>
      </c>
      <c r="G209" s="220" t="s">
        <v>163</v>
      </c>
      <c r="H209" s="221">
        <v>340</v>
      </c>
      <c r="I209" s="222"/>
      <c r="J209" s="223">
        <f>ROUND(I209*H209,2)</f>
        <v>0</v>
      </c>
      <c r="K209" s="219" t="s">
        <v>136</v>
      </c>
      <c r="L209" s="43"/>
      <c r="M209" s="224" t="s">
        <v>1</v>
      </c>
      <c r="N209" s="225" t="s">
        <v>46</v>
      </c>
      <c r="O209" s="90"/>
      <c r="P209" s="226">
        <f>O209*H209</f>
        <v>0</v>
      </c>
      <c r="Q209" s="226">
        <v>0</v>
      </c>
      <c r="R209" s="226">
        <f>Q209*H209</f>
        <v>0</v>
      </c>
      <c r="S209" s="226">
        <v>0</v>
      </c>
      <c r="T209" s="227">
        <f>S209*H209</f>
        <v>0</v>
      </c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R209" s="228" t="s">
        <v>137</v>
      </c>
      <c r="AT209" s="228" t="s">
        <v>132</v>
      </c>
      <c r="AU209" s="228" t="s">
        <v>91</v>
      </c>
      <c r="AY209" s="16" t="s">
        <v>130</v>
      </c>
      <c r="BE209" s="229">
        <f>IF(N209="základní",J209,0)</f>
        <v>0</v>
      </c>
      <c r="BF209" s="229">
        <f>IF(N209="snížená",J209,0)</f>
        <v>0</v>
      </c>
      <c r="BG209" s="229">
        <f>IF(N209="zákl. přenesená",J209,0)</f>
        <v>0</v>
      </c>
      <c r="BH209" s="229">
        <f>IF(N209="sníž. přenesená",J209,0)</f>
        <v>0</v>
      </c>
      <c r="BI209" s="229">
        <f>IF(N209="nulová",J209,0)</f>
        <v>0</v>
      </c>
      <c r="BJ209" s="16" t="s">
        <v>89</v>
      </c>
      <c r="BK209" s="229">
        <f>ROUND(I209*H209,2)</f>
        <v>0</v>
      </c>
      <c r="BL209" s="16" t="s">
        <v>137</v>
      </c>
      <c r="BM209" s="228" t="s">
        <v>164</v>
      </c>
    </row>
    <row r="210" s="2" customFormat="1">
      <c r="A210" s="37"/>
      <c r="B210" s="38"/>
      <c r="C210" s="39"/>
      <c r="D210" s="230" t="s">
        <v>139</v>
      </c>
      <c r="E210" s="39"/>
      <c r="F210" s="231" t="s">
        <v>162</v>
      </c>
      <c r="G210" s="39"/>
      <c r="H210" s="39"/>
      <c r="I210" s="232"/>
      <c r="J210" s="39"/>
      <c r="K210" s="39"/>
      <c r="L210" s="43"/>
      <c r="M210" s="233"/>
      <c r="N210" s="234"/>
      <c r="O210" s="90"/>
      <c r="P210" s="90"/>
      <c r="Q210" s="90"/>
      <c r="R210" s="90"/>
      <c r="S210" s="90"/>
      <c r="T210" s="91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T210" s="16" t="s">
        <v>139</v>
      </c>
      <c r="AU210" s="16" t="s">
        <v>91</v>
      </c>
    </row>
    <row r="211" s="2" customFormat="1">
      <c r="A211" s="37"/>
      <c r="B211" s="38"/>
      <c r="C211" s="39"/>
      <c r="D211" s="230" t="s">
        <v>140</v>
      </c>
      <c r="E211" s="39"/>
      <c r="F211" s="235" t="s">
        <v>154</v>
      </c>
      <c r="G211" s="39"/>
      <c r="H211" s="39"/>
      <c r="I211" s="232"/>
      <c r="J211" s="39"/>
      <c r="K211" s="39"/>
      <c r="L211" s="43"/>
      <c r="M211" s="233"/>
      <c r="N211" s="234"/>
      <c r="O211" s="90"/>
      <c r="P211" s="90"/>
      <c r="Q211" s="90"/>
      <c r="R211" s="90"/>
      <c r="S211" s="90"/>
      <c r="T211" s="91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T211" s="16" t="s">
        <v>140</v>
      </c>
      <c r="AU211" s="16" t="s">
        <v>91</v>
      </c>
    </row>
    <row r="212" s="13" customFormat="1">
      <c r="A212" s="13"/>
      <c r="B212" s="236"/>
      <c r="C212" s="237"/>
      <c r="D212" s="230" t="s">
        <v>142</v>
      </c>
      <c r="E212" s="238" t="s">
        <v>1</v>
      </c>
      <c r="F212" s="239" t="s">
        <v>165</v>
      </c>
      <c r="G212" s="237"/>
      <c r="H212" s="238" t="s">
        <v>1</v>
      </c>
      <c r="I212" s="240"/>
      <c r="J212" s="237"/>
      <c r="K212" s="237"/>
      <c r="L212" s="241"/>
      <c r="M212" s="242"/>
      <c r="N212" s="243"/>
      <c r="O212" s="243"/>
      <c r="P212" s="243"/>
      <c r="Q212" s="243"/>
      <c r="R212" s="243"/>
      <c r="S212" s="243"/>
      <c r="T212" s="244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T212" s="245" t="s">
        <v>142</v>
      </c>
      <c r="AU212" s="245" t="s">
        <v>91</v>
      </c>
      <c r="AV212" s="13" t="s">
        <v>89</v>
      </c>
      <c r="AW212" s="13" t="s">
        <v>36</v>
      </c>
      <c r="AX212" s="13" t="s">
        <v>81</v>
      </c>
      <c r="AY212" s="245" t="s">
        <v>130</v>
      </c>
    </row>
    <row r="213" s="13" customFormat="1">
      <c r="A213" s="13"/>
      <c r="B213" s="236"/>
      <c r="C213" s="237"/>
      <c r="D213" s="230" t="s">
        <v>142</v>
      </c>
      <c r="E213" s="238" t="s">
        <v>1</v>
      </c>
      <c r="F213" s="239" t="s">
        <v>322</v>
      </c>
      <c r="G213" s="237"/>
      <c r="H213" s="238" t="s">
        <v>1</v>
      </c>
      <c r="I213" s="240"/>
      <c r="J213" s="237"/>
      <c r="K213" s="237"/>
      <c r="L213" s="241"/>
      <c r="M213" s="242"/>
      <c r="N213" s="243"/>
      <c r="O213" s="243"/>
      <c r="P213" s="243"/>
      <c r="Q213" s="243"/>
      <c r="R213" s="243"/>
      <c r="S213" s="243"/>
      <c r="T213" s="244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5" t="s">
        <v>142</v>
      </c>
      <c r="AU213" s="245" t="s">
        <v>91</v>
      </c>
      <c r="AV213" s="13" t="s">
        <v>89</v>
      </c>
      <c r="AW213" s="13" t="s">
        <v>36</v>
      </c>
      <c r="AX213" s="13" t="s">
        <v>81</v>
      </c>
      <c r="AY213" s="245" t="s">
        <v>130</v>
      </c>
    </row>
    <row r="214" s="14" customFormat="1">
      <c r="A214" s="14"/>
      <c r="B214" s="246"/>
      <c r="C214" s="247"/>
      <c r="D214" s="230" t="s">
        <v>142</v>
      </c>
      <c r="E214" s="248" t="s">
        <v>1</v>
      </c>
      <c r="F214" s="249" t="s">
        <v>323</v>
      </c>
      <c r="G214" s="247"/>
      <c r="H214" s="250">
        <v>340</v>
      </c>
      <c r="I214" s="251"/>
      <c r="J214" s="247"/>
      <c r="K214" s="247"/>
      <c r="L214" s="252"/>
      <c r="M214" s="253"/>
      <c r="N214" s="254"/>
      <c r="O214" s="254"/>
      <c r="P214" s="254"/>
      <c r="Q214" s="254"/>
      <c r="R214" s="254"/>
      <c r="S214" s="254"/>
      <c r="T214" s="255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T214" s="256" t="s">
        <v>142</v>
      </c>
      <c r="AU214" s="256" t="s">
        <v>91</v>
      </c>
      <c r="AV214" s="14" t="s">
        <v>91</v>
      </c>
      <c r="AW214" s="14" t="s">
        <v>36</v>
      </c>
      <c r="AX214" s="14" t="s">
        <v>89</v>
      </c>
      <c r="AY214" s="256" t="s">
        <v>130</v>
      </c>
    </row>
    <row r="215" s="2" customFormat="1" ht="24.15" customHeight="1">
      <c r="A215" s="37"/>
      <c r="B215" s="38"/>
      <c r="C215" s="217" t="s">
        <v>324</v>
      </c>
      <c r="D215" s="217" t="s">
        <v>132</v>
      </c>
      <c r="E215" s="218" t="s">
        <v>325</v>
      </c>
      <c r="F215" s="219" t="s">
        <v>326</v>
      </c>
      <c r="G215" s="220" t="s">
        <v>135</v>
      </c>
      <c r="H215" s="221">
        <v>217.44</v>
      </c>
      <c r="I215" s="222"/>
      <c r="J215" s="223">
        <f>ROUND(I215*H215,2)</f>
        <v>0</v>
      </c>
      <c r="K215" s="219" t="s">
        <v>136</v>
      </c>
      <c r="L215" s="43"/>
      <c r="M215" s="224" t="s">
        <v>1</v>
      </c>
      <c r="N215" s="225" t="s">
        <v>46</v>
      </c>
      <c r="O215" s="90"/>
      <c r="P215" s="226">
        <f>O215*H215</f>
        <v>0</v>
      </c>
      <c r="Q215" s="226">
        <v>0</v>
      </c>
      <c r="R215" s="226">
        <f>Q215*H215</f>
        <v>0</v>
      </c>
      <c r="S215" s="226">
        <v>0</v>
      </c>
      <c r="T215" s="227">
        <f>S215*H215</f>
        <v>0</v>
      </c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R215" s="228" t="s">
        <v>137</v>
      </c>
      <c r="AT215" s="228" t="s">
        <v>132</v>
      </c>
      <c r="AU215" s="228" t="s">
        <v>91</v>
      </c>
      <c r="AY215" s="16" t="s">
        <v>130</v>
      </c>
      <c r="BE215" s="229">
        <f>IF(N215="základní",J215,0)</f>
        <v>0</v>
      </c>
      <c r="BF215" s="229">
        <f>IF(N215="snížená",J215,0)</f>
        <v>0</v>
      </c>
      <c r="BG215" s="229">
        <f>IF(N215="zákl. přenesená",J215,0)</f>
        <v>0</v>
      </c>
      <c r="BH215" s="229">
        <f>IF(N215="sníž. přenesená",J215,0)</f>
        <v>0</v>
      </c>
      <c r="BI215" s="229">
        <f>IF(N215="nulová",J215,0)</f>
        <v>0</v>
      </c>
      <c r="BJ215" s="16" t="s">
        <v>89</v>
      </c>
      <c r="BK215" s="229">
        <f>ROUND(I215*H215,2)</f>
        <v>0</v>
      </c>
      <c r="BL215" s="16" t="s">
        <v>137</v>
      </c>
      <c r="BM215" s="228" t="s">
        <v>327</v>
      </c>
    </row>
    <row r="216" s="2" customFormat="1">
      <c r="A216" s="37"/>
      <c r="B216" s="38"/>
      <c r="C216" s="39"/>
      <c r="D216" s="230" t="s">
        <v>139</v>
      </c>
      <c r="E216" s="39"/>
      <c r="F216" s="231" t="s">
        <v>326</v>
      </c>
      <c r="G216" s="39"/>
      <c r="H216" s="39"/>
      <c r="I216" s="232"/>
      <c r="J216" s="39"/>
      <c r="K216" s="39"/>
      <c r="L216" s="43"/>
      <c r="M216" s="233"/>
      <c r="N216" s="234"/>
      <c r="O216" s="90"/>
      <c r="P216" s="90"/>
      <c r="Q216" s="90"/>
      <c r="R216" s="90"/>
      <c r="S216" s="90"/>
      <c r="T216" s="91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T216" s="16" t="s">
        <v>139</v>
      </c>
      <c r="AU216" s="16" t="s">
        <v>91</v>
      </c>
    </row>
    <row r="217" s="2" customFormat="1">
      <c r="A217" s="37"/>
      <c r="B217" s="38"/>
      <c r="C217" s="39"/>
      <c r="D217" s="230" t="s">
        <v>140</v>
      </c>
      <c r="E217" s="39"/>
      <c r="F217" s="235" t="s">
        <v>328</v>
      </c>
      <c r="G217" s="39"/>
      <c r="H217" s="39"/>
      <c r="I217" s="232"/>
      <c r="J217" s="39"/>
      <c r="K217" s="39"/>
      <c r="L217" s="43"/>
      <c r="M217" s="233"/>
      <c r="N217" s="234"/>
      <c r="O217" s="90"/>
      <c r="P217" s="90"/>
      <c r="Q217" s="90"/>
      <c r="R217" s="90"/>
      <c r="S217" s="90"/>
      <c r="T217" s="91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T217" s="16" t="s">
        <v>140</v>
      </c>
      <c r="AU217" s="16" t="s">
        <v>91</v>
      </c>
    </row>
    <row r="218" s="13" customFormat="1">
      <c r="A218" s="13"/>
      <c r="B218" s="236"/>
      <c r="C218" s="237"/>
      <c r="D218" s="230" t="s">
        <v>142</v>
      </c>
      <c r="E218" s="238" t="s">
        <v>1</v>
      </c>
      <c r="F218" s="239" t="s">
        <v>329</v>
      </c>
      <c r="G218" s="237"/>
      <c r="H218" s="238" t="s">
        <v>1</v>
      </c>
      <c r="I218" s="240"/>
      <c r="J218" s="237"/>
      <c r="K218" s="237"/>
      <c r="L218" s="241"/>
      <c r="M218" s="242"/>
      <c r="N218" s="243"/>
      <c r="O218" s="243"/>
      <c r="P218" s="243"/>
      <c r="Q218" s="243"/>
      <c r="R218" s="243"/>
      <c r="S218" s="243"/>
      <c r="T218" s="244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5" t="s">
        <v>142</v>
      </c>
      <c r="AU218" s="245" t="s">
        <v>91</v>
      </c>
      <c r="AV218" s="13" t="s">
        <v>89</v>
      </c>
      <c r="AW218" s="13" t="s">
        <v>36</v>
      </c>
      <c r="AX218" s="13" t="s">
        <v>81</v>
      </c>
      <c r="AY218" s="245" t="s">
        <v>130</v>
      </c>
    </row>
    <row r="219" s="13" customFormat="1">
      <c r="A219" s="13"/>
      <c r="B219" s="236"/>
      <c r="C219" s="237"/>
      <c r="D219" s="230" t="s">
        <v>142</v>
      </c>
      <c r="E219" s="238" t="s">
        <v>1</v>
      </c>
      <c r="F219" s="239" t="s">
        <v>330</v>
      </c>
      <c r="G219" s="237"/>
      <c r="H219" s="238" t="s">
        <v>1</v>
      </c>
      <c r="I219" s="240"/>
      <c r="J219" s="237"/>
      <c r="K219" s="237"/>
      <c r="L219" s="241"/>
      <c r="M219" s="242"/>
      <c r="N219" s="243"/>
      <c r="O219" s="243"/>
      <c r="P219" s="243"/>
      <c r="Q219" s="243"/>
      <c r="R219" s="243"/>
      <c r="S219" s="243"/>
      <c r="T219" s="244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5" t="s">
        <v>142</v>
      </c>
      <c r="AU219" s="245" t="s">
        <v>91</v>
      </c>
      <c r="AV219" s="13" t="s">
        <v>89</v>
      </c>
      <c r="AW219" s="13" t="s">
        <v>36</v>
      </c>
      <c r="AX219" s="13" t="s">
        <v>81</v>
      </c>
      <c r="AY219" s="245" t="s">
        <v>130</v>
      </c>
    </row>
    <row r="220" s="13" customFormat="1">
      <c r="A220" s="13"/>
      <c r="B220" s="236"/>
      <c r="C220" s="237"/>
      <c r="D220" s="230" t="s">
        <v>142</v>
      </c>
      <c r="E220" s="238" t="s">
        <v>1</v>
      </c>
      <c r="F220" s="239" t="s">
        <v>262</v>
      </c>
      <c r="G220" s="237"/>
      <c r="H220" s="238" t="s">
        <v>1</v>
      </c>
      <c r="I220" s="240"/>
      <c r="J220" s="237"/>
      <c r="K220" s="237"/>
      <c r="L220" s="241"/>
      <c r="M220" s="242"/>
      <c r="N220" s="243"/>
      <c r="O220" s="243"/>
      <c r="P220" s="243"/>
      <c r="Q220" s="243"/>
      <c r="R220" s="243"/>
      <c r="S220" s="243"/>
      <c r="T220" s="244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T220" s="245" t="s">
        <v>142</v>
      </c>
      <c r="AU220" s="245" t="s">
        <v>91</v>
      </c>
      <c r="AV220" s="13" t="s">
        <v>89</v>
      </c>
      <c r="AW220" s="13" t="s">
        <v>36</v>
      </c>
      <c r="AX220" s="13" t="s">
        <v>81</v>
      </c>
      <c r="AY220" s="245" t="s">
        <v>130</v>
      </c>
    </row>
    <row r="221" s="13" customFormat="1">
      <c r="A221" s="13"/>
      <c r="B221" s="236"/>
      <c r="C221" s="237"/>
      <c r="D221" s="230" t="s">
        <v>142</v>
      </c>
      <c r="E221" s="238" t="s">
        <v>1</v>
      </c>
      <c r="F221" s="239" t="s">
        <v>263</v>
      </c>
      <c r="G221" s="237"/>
      <c r="H221" s="238" t="s">
        <v>1</v>
      </c>
      <c r="I221" s="240"/>
      <c r="J221" s="237"/>
      <c r="K221" s="237"/>
      <c r="L221" s="241"/>
      <c r="M221" s="242"/>
      <c r="N221" s="243"/>
      <c r="O221" s="243"/>
      <c r="P221" s="243"/>
      <c r="Q221" s="243"/>
      <c r="R221" s="243"/>
      <c r="S221" s="243"/>
      <c r="T221" s="244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5" t="s">
        <v>142</v>
      </c>
      <c r="AU221" s="245" t="s">
        <v>91</v>
      </c>
      <c r="AV221" s="13" t="s">
        <v>89</v>
      </c>
      <c r="AW221" s="13" t="s">
        <v>36</v>
      </c>
      <c r="AX221" s="13" t="s">
        <v>81</v>
      </c>
      <c r="AY221" s="245" t="s">
        <v>130</v>
      </c>
    </row>
    <row r="222" s="13" customFormat="1">
      <c r="A222" s="13"/>
      <c r="B222" s="236"/>
      <c r="C222" s="237"/>
      <c r="D222" s="230" t="s">
        <v>142</v>
      </c>
      <c r="E222" s="238" t="s">
        <v>1</v>
      </c>
      <c r="F222" s="239" t="s">
        <v>331</v>
      </c>
      <c r="G222" s="237"/>
      <c r="H222" s="238" t="s">
        <v>1</v>
      </c>
      <c r="I222" s="240"/>
      <c r="J222" s="237"/>
      <c r="K222" s="237"/>
      <c r="L222" s="241"/>
      <c r="M222" s="242"/>
      <c r="N222" s="243"/>
      <c r="O222" s="243"/>
      <c r="P222" s="243"/>
      <c r="Q222" s="243"/>
      <c r="R222" s="243"/>
      <c r="S222" s="243"/>
      <c r="T222" s="244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5" t="s">
        <v>142</v>
      </c>
      <c r="AU222" s="245" t="s">
        <v>91</v>
      </c>
      <c r="AV222" s="13" t="s">
        <v>89</v>
      </c>
      <c r="AW222" s="13" t="s">
        <v>36</v>
      </c>
      <c r="AX222" s="13" t="s">
        <v>81</v>
      </c>
      <c r="AY222" s="245" t="s">
        <v>130</v>
      </c>
    </row>
    <row r="223" s="14" customFormat="1">
      <c r="A223" s="14"/>
      <c r="B223" s="246"/>
      <c r="C223" s="247"/>
      <c r="D223" s="230" t="s">
        <v>142</v>
      </c>
      <c r="E223" s="248" t="s">
        <v>1</v>
      </c>
      <c r="F223" s="249" t="s">
        <v>332</v>
      </c>
      <c r="G223" s="247"/>
      <c r="H223" s="250">
        <v>217.44</v>
      </c>
      <c r="I223" s="251"/>
      <c r="J223" s="247"/>
      <c r="K223" s="247"/>
      <c r="L223" s="252"/>
      <c r="M223" s="253"/>
      <c r="N223" s="254"/>
      <c r="O223" s="254"/>
      <c r="P223" s="254"/>
      <c r="Q223" s="254"/>
      <c r="R223" s="254"/>
      <c r="S223" s="254"/>
      <c r="T223" s="255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T223" s="256" t="s">
        <v>142</v>
      </c>
      <c r="AU223" s="256" t="s">
        <v>91</v>
      </c>
      <c r="AV223" s="14" t="s">
        <v>91</v>
      </c>
      <c r="AW223" s="14" t="s">
        <v>36</v>
      </c>
      <c r="AX223" s="14" t="s">
        <v>89</v>
      </c>
      <c r="AY223" s="256" t="s">
        <v>130</v>
      </c>
    </row>
    <row r="224" s="2" customFormat="1" ht="24.15" customHeight="1">
      <c r="A224" s="37"/>
      <c r="B224" s="38"/>
      <c r="C224" s="217" t="s">
        <v>333</v>
      </c>
      <c r="D224" s="217" t="s">
        <v>132</v>
      </c>
      <c r="E224" s="218" t="s">
        <v>325</v>
      </c>
      <c r="F224" s="219" t="s">
        <v>326</v>
      </c>
      <c r="G224" s="220" t="s">
        <v>135</v>
      </c>
      <c r="H224" s="221">
        <v>90.599999999999994</v>
      </c>
      <c r="I224" s="222"/>
      <c r="J224" s="223">
        <f>ROUND(I224*H224,2)</f>
        <v>0</v>
      </c>
      <c r="K224" s="219" t="s">
        <v>136</v>
      </c>
      <c r="L224" s="43"/>
      <c r="M224" s="224" t="s">
        <v>1</v>
      </c>
      <c r="N224" s="225" t="s">
        <v>46</v>
      </c>
      <c r="O224" s="90"/>
      <c r="P224" s="226">
        <f>O224*H224</f>
        <v>0</v>
      </c>
      <c r="Q224" s="226">
        <v>0</v>
      </c>
      <c r="R224" s="226">
        <f>Q224*H224</f>
        <v>0</v>
      </c>
      <c r="S224" s="226">
        <v>0</v>
      </c>
      <c r="T224" s="227">
        <f>S224*H224</f>
        <v>0</v>
      </c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R224" s="228" t="s">
        <v>137</v>
      </c>
      <c r="AT224" s="228" t="s">
        <v>132</v>
      </c>
      <c r="AU224" s="228" t="s">
        <v>91</v>
      </c>
      <c r="AY224" s="16" t="s">
        <v>130</v>
      </c>
      <c r="BE224" s="229">
        <f>IF(N224="základní",J224,0)</f>
        <v>0</v>
      </c>
      <c r="BF224" s="229">
        <f>IF(N224="snížená",J224,0)</f>
        <v>0</v>
      </c>
      <c r="BG224" s="229">
        <f>IF(N224="zákl. přenesená",J224,0)</f>
        <v>0</v>
      </c>
      <c r="BH224" s="229">
        <f>IF(N224="sníž. přenesená",J224,0)</f>
        <v>0</v>
      </c>
      <c r="BI224" s="229">
        <f>IF(N224="nulová",J224,0)</f>
        <v>0</v>
      </c>
      <c r="BJ224" s="16" t="s">
        <v>89</v>
      </c>
      <c r="BK224" s="229">
        <f>ROUND(I224*H224,2)</f>
        <v>0</v>
      </c>
      <c r="BL224" s="16" t="s">
        <v>137</v>
      </c>
      <c r="BM224" s="228" t="s">
        <v>334</v>
      </c>
    </row>
    <row r="225" s="2" customFormat="1">
      <c r="A225" s="37"/>
      <c r="B225" s="38"/>
      <c r="C225" s="39"/>
      <c r="D225" s="230" t="s">
        <v>139</v>
      </c>
      <c r="E225" s="39"/>
      <c r="F225" s="231" t="s">
        <v>326</v>
      </c>
      <c r="G225" s="39"/>
      <c r="H225" s="39"/>
      <c r="I225" s="232"/>
      <c r="J225" s="39"/>
      <c r="K225" s="39"/>
      <c r="L225" s="43"/>
      <c r="M225" s="233"/>
      <c r="N225" s="234"/>
      <c r="O225" s="90"/>
      <c r="P225" s="90"/>
      <c r="Q225" s="90"/>
      <c r="R225" s="90"/>
      <c r="S225" s="90"/>
      <c r="T225" s="91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T225" s="16" t="s">
        <v>139</v>
      </c>
      <c r="AU225" s="16" t="s">
        <v>91</v>
      </c>
    </row>
    <row r="226" s="2" customFormat="1">
      <c r="A226" s="37"/>
      <c r="B226" s="38"/>
      <c r="C226" s="39"/>
      <c r="D226" s="230" t="s">
        <v>140</v>
      </c>
      <c r="E226" s="39"/>
      <c r="F226" s="235" t="s">
        <v>328</v>
      </c>
      <c r="G226" s="39"/>
      <c r="H226" s="39"/>
      <c r="I226" s="232"/>
      <c r="J226" s="39"/>
      <c r="K226" s="39"/>
      <c r="L226" s="43"/>
      <c r="M226" s="233"/>
      <c r="N226" s="234"/>
      <c r="O226" s="90"/>
      <c r="P226" s="90"/>
      <c r="Q226" s="90"/>
      <c r="R226" s="90"/>
      <c r="S226" s="90"/>
      <c r="T226" s="91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T226" s="16" t="s">
        <v>140</v>
      </c>
      <c r="AU226" s="16" t="s">
        <v>91</v>
      </c>
    </row>
    <row r="227" s="13" customFormat="1">
      <c r="A227" s="13"/>
      <c r="B227" s="236"/>
      <c r="C227" s="237"/>
      <c r="D227" s="230" t="s">
        <v>142</v>
      </c>
      <c r="E227" s="238" t="s">
        <v>1</v>
      </c>
      <c r="F227" s="239" t="s">
        <v>335</v>
      </c>
      <c r="G227" s="237"/>
      <c r="H227" s="238" t="s">
        <v>1</v>
      </c>
      <c r="I227" s="240"/>
      <c r="J227" s="237"/>
      <c r="K227" s="237"/>
      <c r="L227" s="241"/>
      <c r="M227" s="242"/>
      <c r="N227" s="243"/>
      <c r="O227" s="243"/>
      <c r="P227" s="243"/>
      <c r="Q227" s="243"/>
      <c r="R227" s="243"/>
      <c r="S227" s="243"/>
      <c r="T227" s="244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5" t="s">
        <v>142</v>
      </c>
      <c r="AU227" s="245" t="s">
        <v>91</v>
      </c>
      <c r="AV227" s="13" t="s">
        <v>89</v>
      </c>
      <c r="AW227" s="13" t="s">
        <v>36</v>
      </c>
      <c r="AX227" s="13" t="s">
        <v>81</v>
      </c>
      <c r="AY227" s="245" t="s">
        <v>130</v>
      </c>
    </row>
    <row r="228" s="13" customFormat="1">
      <c r="A228" s="13"/>
      <c r="B228" s="236"/>
      <c r="C228" s="237"/>
      <c r="D228" s="230" t="s">
        <v>142</v>
      </c>
      <c r="E228" s="238" t="s">
        <v>1</v>
      </c>
      <c r="F228" s="239" t="s">
        <v>336</v>
      </c>
      <c r="G228" s="237"/>
      <c r="H228" s="238" t="s">
        <v>1</v>
      </c>
      <c r="I228" s="240"/>
      <c r="J228" s="237"/>
      <c r="K228" s="237"/>
      <c r="L228" s="241"/>
      <c r="M228" s="242"/>
      <c r="N228" s="243"/>
      <c r="O228" s="243"/>
      <c r="P228" s="243"/>
      <c r="Q228" s="243"/>
      <c r="R228" s="243"/>
      <c r="S228" s="243"/>
      <c r="T228" s="244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5" t="s">
        <v>142</v>
      </c>
      <c r="AU228" s="245" t="s">
        <v>91</v>
      </c>
      <c r="AV228" s="13" t="s">
        <v>89</v>
      </c>
      <c r="AW228" s="13" t="s">
        <v>36</v>
      </c>
      <c r="AX228" s="13" t="s">
        <v>81</v>
      </c>
      <c r="AY228" s="245" t="s">
        <v>130</v>
      </c>
    </row>
    <row r="229" s="13" customFormat="1">
      <c r="A229" s="13"/>
      <c r="B229" s="236"/>
      <c r="C229" s="237"/>
      <c r="D229" s="230" t="s">
        <v>142</v>
      </c>
      <c r="E229" s="238" t="s">
        <v>1</v>
      </c>
      <c r="F229" s="239" t="s">
        <v>337</v>
      </c>
      <c r="G229" s="237"/>
      <c r="H229" s="238" t="s">
        <v>1</v>
      </c>
      <c r="I229" s="240"/>
      <c r="J229" s="237"/>
      <c r="K229" s="237"/>
      <c r="L229" s="241"/>
      <c r="M229" s="242"/>
      <c r="N229" s="243"/>
      <c r="O229" s="243"/>
      <c r="P229" s="243"/>
      <c r="Q229" s="243"/>
      <c r="R229" s="243"/>
      <c r="S229" s="243"/>
      <c r="T229" s="244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45" t="s">
        <v>142</v>
      </c>
      <c r="AU229" s="245" t="s">
        <v>91</v>
      </c>
      <c r="AV229" s="13" t="s">
        <v>89</v>
      </c>
      <c r="AW229" s="13" t="s">
        <v>36</v>
      </c>
      <c r="AX229" s="13" t="s">
        <v>81</v>
      </c>
      <c r="AY229" s="245" t="s">
        <v>130</v>
      </c>
    </row>
    <row r="230" s="13" customFormat="1">
      <c r="A230" s="13"/>
      <c r="B230" s="236"/>
      <c r="C230" s="237"/>
      <c r="D230" s="230" t="s">
        <v>142</v>
      </c>
      <c r="E230" s="238" t="s">
        <v>1</v>
      </c>
      <c r="F230" s="239" t="s">
        <v>262</v>
      </c>
      <c r="G230" s="237"/>
      <c r="H230" s="238" t="s">
        <v>1</v>
      </c>
      <c r="I230" s="240"/>
      <c r="J230" s="237"/>
      <c r="K230" s="237"/>
      <c r="L230" s="241"/>
      <c r="M230" s="242"/>
      <c r="N230" s="243"/>
      <c r="O230" s="243"/>
      <c r="P230" s="243"/>
      <c r="Q230" s="243"/>
      <c r="R230" s="243"/>
      <c r="S230" s="243"/>
      <c r="T230" s="244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T230" s="245" t="s">
        <v>142</v>
      </c>
      <c r="AU230" s="245" t="s">
        <v>91</v>
      </c>
      <c r="AV230" s="13" t="s">
        <v>89</v>
      </c>
      <c r="AW230" s="13" t="s">
        <v>36</v>
      </c>
      <c r="AX230" s="13" t="s">
        <v>81</v>
      </c>
      <c r="AY230" s="245" t="s">
        <v>130</v>
      </c>
    </row>
    <row r="231" s="13" customFormat="1">
      <c r="A231" s="13"/>
      <c r="B231" s="236"/>
      <c r="C231" s="237"/>
      <c r="D231" s="230" t="s">
        <v>142</v>
      </c>
      <c r="E231" s="238" t="s">
        <v>1</v>
      </c>
      <c r="F231" s="239" t="s">
        <v>263</v>
      </c>
      <c r="G231" s="237"/>
      <c r="H231" s="238" t="s">
        <v>1</v>
      </c>
      <c r="I231" s="240"/>
      <c r="J231" s="237"/>
      <c r="K231" s="237"/>
      <c r="L231" s="241"/>
      <c r="M231" s="242"/>
      <c r="N231" s="243"/>
      <c r="O231" s="243"/>
      <c r="P231" s="243"/>
      <c r="Q231" s="243"/>
      <c r="R231" s="243"/>
      <c r="S231" s="243"/>
      <c r="T231" s="244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5" t="s">
        <v>142</v>
      </c>
      <c r="AU231" s="245" t="s">
        <v>91</v>
      </c>
      <c r="AV231" s="13" t="s">
        <v>89</v>
      </c>
      <c r="AW231" s="13" t="s">
        <v>36</v>
      </c>
      <c r="AX231" s="13" t="s">
        <v>81</v>
      </c>
      <c r="AY231" s="245" t="s">
        <v>130</v>
      </c>
    </row>
    <row r="232" s="13" customFormat="1">
      <c r="A232" s="13"/>
      <c r="B232" s="236"/>
      <c r="C232" s="237"/>
      <c r="D232" s="230" t="s">
        <v>142</v>
      </c>
      <c r="E232" s="238" t="s">
        <v>1</v>
      </c>
      <c r="F232" s="239" t="s">
        <v>338</v>
      </c>
      <c r="G232" s="237"/>
      <c r="H232" s="238" t="s">
        <v>1</v>
      </c>
      <c r="I232" s="240"/>
      <c r="J232" s="237"/>
      <c r="K232" s="237"/>
      <c r="L232" s="241"/>
      <c r="M232" s="242"/>
      <c r="N232" s="243"/>
      <c r="O232" s="243"/>
      <c r="P232" s="243"/>
      <c r="Q232" s="243"/>
      <c r="R232" s="243"/>
      <c r="S232" s="243"/>
      <c r="T232" s="244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5" t="s">
        <v>142</v>
      </c>
      <c r="AU232" s="245" t="s">
        <v>91</v>
      </c>
      <c r="AV232" s="13" t="s">
        <v>89</v>
      </c>
      <c r="AW232" s="13" t="s">
        <v>36</v>
      </c>
      <c r="AX232" s="13" t="s">
        <v>81</v>
      </c>
      <c r="AY232" s="245" t="s">
        <v>130</v>
      </c>
    </row>
    <row r="233" s="13" customFormat="1">
      <c r="A233" s="13"/>
      <c r="B233" s="236"/>
      <c r="C233" s="237"/>
      <c r="D233" s="230" t="s">
        <v>142</v>
      </c>
      <c r="E233" s="238" t="s">
        <v>1</v>
      </c>
      <c r="F233" s="239" t="s">
        <v>339</v>
      </c>
      <c r="G233" s="237"/>
      <c r="H233" s="238" t="s">
        <v>1</v>
      </c>
      <c r="I233" s="240"/>
      <c r="J233" s="237"/>
      <c r="K233" s="237"/>
      <c r="L233" s="241"/>
      <c r="M233" s="242"/>
      <c r="N233" s="243"/>
      <c r="O233" s="243"/>
      <c r="P233" s="243"/>
      <c r="Q233" s="243"/>
      <c r="R233" s="243"/>
      <c r="S233" s="243"/>
      <c r="T233" s="244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T233" s="245" t="s">
        <v>142</v>
      </c>
      <c r="AU233" s="245" t="s">
        <v>91</v>
      </c>
      <c r="AV233" s="13" t="s">
        <v>89</v>
      </c>
      <c r="AW233" s="13" t="s">
        <v>36</v>
      </c>
      <c r="AX233" s="13" t="s">
        <v>81</v>
      </c>
      <c r="AY233" s="245" t="s">
        <v>130</v>
      </c>
    </row>
    <row r="234" s="14" customFormat="1">
      <c r="A234" s="14"/>
      <c r="B234" s="246"/>
      <c r="C234" s="247"/>
      <c r="D234" s="230" t="s">
        <v>142</v>
      </c>
      <c r="E234" s="248" t="s">
        <v>1</v>
      </c>
      <c r="F234" s="249" t="s">
        <v>340</v>
      </c>
      <c r="G234" s="247"/>
      <c r="H234" s="250">
        <v>90.599999999999994</v>
      </c>
      <c r="I234" s="251"/>
      <c r="J234" s="247"/>
      <c r="K234" s="247"/>
      <c r="L234" s="252"/>
      <c r="M234" s="253"/>
      <c r="N234" s="254"/>
      <c r="O234" s="254"/>
      <c r="P234" s="254"/>
      <c r="Q234" s="254"/>
      <c r="R234" s="254"/>
      <c r="S234" s="254"/>
      <c r="T234" s="255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T234" s="256" t="s">
        <v>142</v>
      </c>
      <c r="AU234" s="256" t="s">
        <v>91</v>
      </c>
      <c r="AV234" s="14" t="s">
        <v>91</v>
      </c>
      <c r="AW234" s="14" t="s">
        <v>36</v>
      </c>
      <c r="AX234" s="14" t="s">
        <v>89</v>
      </c>
      <c r="AY234" s="256" t="s">
        <v>130</v>
      </c>
    </row>
    <row r="235" s="2" customFormat="1" ht="21.75" customHeight="1">
      <c r="A235" s="37"/>
      <c r="B235" s="38"/>
      <c r="C235" s="217" t="s">
        <v>341</v>
      </c>
      <c r="D235" s="217" t="s">
        <v>132</v>
      </c>
      <c r="E235" s="218" t="s">
        <v>342</v>
      </c>
      <c r="F235" s="219" t="s">
        <v>343</v>
      </c>
      <c r="G235" s="220" t="s">
        <v>152</v>
      </c>
      <c r="H235" s="221">
        <v>3624</v>
      </c>
      <c r="I235" s="222"/>
      <c r="J235" s="223">
        <f>ROUND(I235*H235,2)</f>
        <v>0</v>
      </c>
      <c r="K235" s="219" t="s">
        <v>136</v>
      </c>
      <c r="L235" s="43"/>
      <c r="M235" s="224" t="s">
        <v>1</v>
      </c>
      <c r="N235" s="225" t="s">
        <v>46</v>
      </c>
      <c r="O235" s="90"/>
      <c r="P235" s="226">
        <f>O235*H235</f>
        <v>0</v>
      </c>
      <c r="Q235" s="226">
        <v>0</v>
      </c>
      <c r="R235" s="226">
        <f>Q235*H235</f>
        <v>0</v>
      </c>
      <c r="S235" s="226">
        <v>0</v>
      </c>
      <c r="T235" s="227">
        <f>S235*H235</f>
        <v>0</v>
      </c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R235" s="228" t="s">
        <v>137</v>
      </c>
      <c r="AT235" s="228" t="s">
        <v>132</v>
      </c>
      <c r="AU235" s="228" t="s">
        <v>91</v>
      </c>
      <c r="AY235" s="16" t="s">
        <v>130</v>
      </c>
      <c r="BE235" s="229">
        <f>IF(N235="základní",J235,0)</f>
        <v>0</v>
      </c>
      <c r="BF235" s="229">
        <f>IF(N235="snížená",J235,0)</f>
        <v>0</v>
      </c>
      <c r="BG235" s="229">
        <f>IF(N235="zákl. přenesená",J235,0)</f>
        <v>0</v>
      </c>
      <c r="BH235" s="229">
        <f>IF(N235="sníž. přenesená",J235,0)</f>
        <v>0</v>
      </c>
      <c r="BI235" s="229">
        <f>IF(N235="nulová",J235,0)</f>
        <v>0</v>
      </c>
      <c r="BJ235" s="16" t="s">
        <v>89</v>
      </c>
      <c r="BK235" s="229">
        <f>ROUND(I235*H235,2)</f>
        <v>0</v>
      </c>
      <c r="BL235" s="16" t="s">
        <v>137</v>
      </c>
      <c r="BM235" s="228" t="s">
        <v>344</v>
      </c>
    </row>
    <row r="236" s="2" customFormat="1">
      <c r="A236" s="37"/>
      <c r="B236" s="38"/>
      <c r="C236" s="39"/>
      <c r="D236" s="230" t="s">
        <v>139</v>
      </c>
      <c r="E236" s="39"/>
      <c r="F236" s="231" t="s">
        <v>343</v>
      </c>
      <c r="G236" s="39"/>
      <c r="H236" s="39"/>
      <c r="I236" s="232"/>
      <c r="J236" s="39"/>
      <c r="K236" s="39"/>
      <c r="L236" s="43"/>
      <c r="M236" s="233"/>
      <c r="N236" s="234"/>
      <c r="O236" s="90"/>
      <c r="P236" s="90"/>
      <c r="Q236" s="90"/>
      <c r="R236" s="90"/>
      <c r="S236" s="90"/>
      <c r="T236" s="91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T236" s="16" t="s">
        <v>139</v>
      </c>
      <c r="AU236" s="16" t="s">
        <v>91</v>
      </c>
    </row>
    <row r="237" s="2" customFormat="1">
      <c r="A237" s="37"/>
      <c r="B237" s="38"/>
      <c r="C237" s="39"/>
      <c r="D237" s="230" t="s">
        <v>140</v>
      </c>
      <c r="E237" s="39"/>
      <c r="F237" s="235" t="s">
        <v>345</v>
      </c>
      <c r="G237" s="39"/>
      <c r="H237" s="39"/>
      <c r="I237" s="232"/>
      <c r="J237" s="39"/>
      <c r="K237" s="39"/>
      <c r="L237" s="43"/>
      <c r="M237" s="233"/>
      <c r="N237" s="234"/>
      <c r="O237" s="90"/>
      <c r="P237" s="90"/>
      <c r="Q237" s="90"/>
      <c r="R237" s="90"/>
      <c r="S237" s="90"/>
      <c r="T237" s="91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T237" s="16" t="s">
        <v>140</v>
      </c>
      <c r="AU237" s="16" t="s">
        <v>91</v>
      </c>
    </row>
    <row r="238" s="13" customFormat="1">
      <c r="A238" s="13"/>
      <c r="B238" s="236"/>
      <c r="C238" s="237"/>
      <c r="D238" s="230" t="s">
        <v>142</v>
      </c>
      <c r="E238" s="238" t="s">
        <v>1</v>
      </c>
      <c r="F238" s="239" t="s">
        <v>346</v>
      </c>
      <c r="G238" s="237"/>
      <c r="H238" s="238" t="s">
        <v>1</v>
      </c>
      <c r="I238" s="240"/>
      <c r="J238" s="237"/>
      <c r="K238" s="237"/>
      <c r="L238" s="241"/>
      <c r="M238" s="242"/>
      <c r="N238" s="243"/>
      <c r="O238" s="243"/>
      <c r="P238" s="243"/>
      <c r="Q238" s="243"/>
      <c r="R238" s="243"/>
      <c r="S238" s="243"/>
      <c r="T238" s="244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T238" s="245" t="s">
        <v>142</v>
      </c>
      <c r="AU238" s="245" t="s">
        <v>91</v>
      </c>
      <c r="AV238" s="13" t="s">
        <v>89</v>
      </c>
      <c r="AW238" s="13" t="s">
        <v>36</v>
      </c>
      <c r="AX238" s="13" t="s">
        <v>81</v>
      </c>
      <c r="AY238" s="245" t="s">
        <v>130</v>
      </c>
    </row>
    <row r="239" s="13" customFormat="1">
      <c r="A239" s="13"/>
      <c r="B239" s="236"/>
      <c r="C239" s="237"/>
      <c r="D239" s="230" t="s">
        <v>142</v>
      </c>
      <c r="E239" s="238" t="s">
        <v>1</v>
      </c>
      <c r="F239" s="239" t="s">
        <v>262</v>
      </c>
      <c r="G239" s="237"/>
      <c r="H239" s="238" t="s">
        <v>1</v>
      </c>
      <c r="I239" s="240"/>
      <c r="J239" s="237"/>
      <c r="K239" s="237"/>
      <c r="L239" s="241"/>
      <c r="M239" s="242"/>
      <c r="N239" s="243"/>
      <c r="O239" s="243"/>
      <c r="P239" s="243"/>
      <c r="Q239" s="243"/>
      <c r="R239" s="243"/>
      <c r="S239" s="243"/>
      <c r="T239" s="244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T239" s="245" t="s">
        <v>142</v>
      </c>
      <c r="AU239" s="245" t="s">
        <v>91</v>
      </c>
      <c r="AV239" s="13" t="s">
        <v>89</v>
      </c>
      <c r="AW239" s="13" t="s">
        <v>36</v>
      </c>
      <c r="AX239" s="13" t="s">
        <v>81</v>
      </c>
      <c r="AY239" s="245" t="s">
        <v>130</v>
      </c>
    </row>
    <row r="240" s="13" customFormat="1">
      <c r="A240" s="13"/>
      <c r="B240" s="236"/>
      <c r="C240" s="237"/>
      <c r="D240" s="230" t="s">
        <v>142</v>
      </c>
      <c r="E240" s="238" t="s">
        <v>1</v>
      </c>
      <c r="F240" s="239" t="s">
        <v>263</v>
      </c>
      <c r="G240" s="237"/>
      <c r="H240" s="238" t="s">
        <v>1</v>
      </c>
      <c r="I240" s="240"/>
      <c r="J240" s="237"/>
      <c r="K240" s="237"/>
      <c r="L240" s="241"/>
      <c r="M240" s="242"/>
      <c r="N240" s="243"/>
      <c r="O240" s="243"/>
      <c r="P240" s="243"/>
      <c r="Q240" s="243"/>
      <c r="R240" s="243"/>
      <c r="S240" s="243"/>
      <c r="T240" s="244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45" t="s">
        <v>142</v>
      </c>
      <c r="AU240" s="245" t="s">
        <v>91</v>
      </c>
      <c r="AV240" s="13" t="s">
        <v>89</v>
      </c>
      <c r="AW240" s="13" t="s">
        <v>36</v>
      </c>
      <c r="AX240" s="13" t="s">
        <v>81</v>
      </c>
      <c r="AY240" s="245" t="s">
        <v>130</v>
      </c>
    </row>
    <row r="241" s="14" customFormat="1">
      <c r="A241" s="14"/>
      <c r="B241" s="246"/>
      <c r="C241" s="247"/>
      <c r="D241" s="230" t="s">
        <v>142</v>
      </c>
      <c r="E241" s="248" t="s">
        <v>1</v>
      </c>
      <c r="F241" s="249" t="s">
        <v>347</v>
      </c>
      <c r="G241" s="247"/>
      <c r="H241" s="250">
        <v>3624</v>
      </c>
      <c r="I241" s="251"/>
      <c r="J241" s="247"/>
      <c r="K241" s="247"/>
      <c r="L241" s="252"/>
      <c r="M241" s="253"/>
      <c r="N241" s="254"/>
      <c r="O241" s="254"/>
      <c r="P241" s="254"/>
      <c r="Q241" s="254"/>
      <c r="R241" s="254"/>
      <c r="S241" s="254"/>
      <c r="T241" s="255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T241" s="256" t="s">
        <v>142</v>
      </c>
      <c r="AU241" s="256" t="s">
        <v>91</v>
      </c>
      <c r="AV241" s="14" t="s">
        <v>91</v>
      </c>
      <c r="AW241" s="14" t="s">
        <v>36</v>
      </c>
      <c r="AX241" s="14" t="s">
        <v>89</v>
      </c>
      <c r="AY241" s="256" t="s">
        <v>130</v>
      </c>
    </row>
    <row r="242" s="2" customFormat="1" ht="21.75" customHeight="1">
      <c r="A242" s="37"/>
      <c r="B242" s="38"/>
      <c r="C242" s="217" t="s">
        <v>348</v>
      </c>
      <c r="D242" s="217" t="s">
        <v>132</v>
      </c>
      <c r="E242" s="218" t="s">
        <v>342</v>
      </c>
      <c r="F242" s="219" t="s">
        <v>343</v>
      </c>
      <c r="G242" s="220" t="s">
        <v>152</v>
      </c>
      <c r="H242" s="221">
        <v>362.39999999999998</v>
      </c>
      <c r="I242" s="222"/>
      <c r="J242" s="223">
        <f>ROUND(I242*H242,2)</f>
        <v>0</v>
      </c>
      <c r="K242" s="219" t="s">
        <v>136</v>
      </c>
      <c r="L242" s="43"/>
      <c r="M242" s="224" t="s">
        <v>1</v>
      </c>
      <c r="N242" s="225" t="s">
        <v>46</v>
      </c>
      <c r="O242" s="90"/>
      <c r="P242" s="226">
        <f>O242*H242</f>
        <v>0</v>
      </c>
      <c r="Q242" s="226">
        <v>0</v>
      </c>
      <c r="R242" s="226">
        <f>Q242*H242</f>
        <v>0</v>
      </c>
      <c r="S242" s="226">
        <v>0</v>
      </c>
      <c r="T242" s="227">
        <f>S242*H242</f>
        <v>0</v>
      </c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R242" s="228" t="s">
        <v>137</v>
      </c>
      <c r="AT242" s="228" t="s">
        <v>132</v>
      </c>
      <c r="AU242" s="228" t="s">
        <v>91</v>
      </c>
      <c r="AY242" s="16" t="s">
        <v>130</v>
      </c>
      <c r="BE242" s="229">
        <f>IF(N242="základní",J242,0)</f>
        <v>0</v>
      </c>
      <c r="BF242" s="229">
        <f>IF(N242="snížená",J242,0)</f>
        <v>0</v>
      </c>
      <c r="BG242" s="229">
        <f>IF(N242="zákl. přenesená",J242,0)</f>
        <v>0</v>
      </c>
      <c r="BH242" s="229">
        <f>IF(N242="sníž. přenesená",J242,0)</f>
        <v>0</v>
      </c>
      <c r="BI242" s="229">
        <f>IF(N242="nulová",J242,0)</f>
        <v>0</v>
      </c>
      <c r="BJ242" s="16" t="s">
        <v>89</v>
      </c>
      <c r="BK242" s="229">
        <f>ROUND(I242*H242,2)</f>
        <v>0</v>
      </c>
      <c r="BL242" s="16" t="s">
        <v>137</v>
      </c>
      <c r="BM242" s="228" t="s">
        <v>349</v>
      </c>
    </row>
    <row r="243" s="2" customFormat="1">
      <c r="A243" s="37"/>
      <c r="B243" s="38"/>
      <c r="C243" s="39"/>
      <c r="D243" s="230" t="s">
        <v>139</v>
      </c>
      <c r="E243" s="39"/>
      <c r="F243" s="231" t="s">
        <v>343</v>
      </c>
      <c r="G243" s="39"/>
      <c r="H243" s="39"/>
      <c r="I243" s="232"/>
      <c r="J243" s="39"/>
      <c r="K243" s="39"/>
      <c r="L243" s="43"/>
      <c r="M243" s="233"/>
      <c r="N243" s="234"/>
      <c r="O243" s="90"/>
      <c r="P243" s="90"/>
      <c r="Q243" s="90"/>
      <c r="R243" s="90"/>
      <c r="S243" s="90"/>
      <c r="T243" s="91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T243" s="16" t="s">
        <v>139</v>
      </c>
      <c r="AU243" s="16" t="s">
        <v>91</v>
      </c>
    </row>
    <row r="244" s="2" customFormat="1">
      <c r="A244" s="37"/>
      <c r="B244" s="38"/>
      <c r="C244" s="39"/>
      <c r="D244" s="230" t="s">
        <v>140</v>
      </c>
      <c r="E244" s="39"/>
      <c r="F244" s="235" t="s">
        <v>345</v>
      </c>
      <c r="G244" s="39"/>
      <c r="H244" s="39"/>
      <c r="I244" s="232"/>
      <c r="J244" s="39"/>
      <c r="K244" s="39"/>
      <c r="L244" s="43"/>
      <c r="M244" s="233"/>
      <c r="N244" s="234"/>
      <c r="O244" s="90"/>
      <c r="P244" s="90"/>
      <c r="Q244" s="90"/>
      <c r="R244" s="90"/>
      <c r="S244" s="90"/>
      <c r="T244" s="91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T244" s="16" t="s">
        <v>140</v>
      </c>
      <c r="AU244" s="16" t="s">
        <v>91</v>
      </c>
    </row>
    <row r="245" s="13" customFormat="1">
      <c r="A245" s="13"/>
      <c r="B245" s="236"/>
      <c r="C245" s="237"/>
      <c r="D245" s="230" t="s">
        <v>142</v>
      </c>
      <c r="E245" s="238" t="s">
        <v>1</v>
      </c>
      <c r="F245" s="239" t="s">
        <v>350</v>
      </c>
      <c r="G245" s="237"/>
      <c r="H245" s="238" t="s">
        <v>1</v>
      </c>
      <c r="I245" s="240"/>
      <c r="J245" s="237"/>
      <c r="K245" s="237"/>
      <c r="L245" s="241"/>
      <c r="M245" s="242"/>
      <c r="N245" s="243"/>
      <c r="O245" s="243"/>
      <c r="P245" s="243"/>
      <c r="Q245" s="243"/>
      <c r="R245" s="243"/>
      <c r="S245" s="243"/>
      <c r="T245" s="244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T245" s="245" t="s">
        <v>142</v>
      </c>
      <c r="AU245" s="245" t="s">
        <v>91</v>
      </c>
      <c r="AV245" s="13" t="s">
        <v>89</v>
      </c>
      <c r="AW245" s="13" t="s">
        <v>36</v>
      </c>
      <c r="AX245" s="13" t="s">
        <v>81</v>
      </c>
      <c r="AY245" s="245" t="s">
        <v>130</v>
      </c>
    </row>
    <row r="246" s="13" customFormat="1">
      <c r="A246" s="13"/>
      <c r="B246" s="236"/>
      <c r="C246" s="237"/>
      <c r="D246" s="230" t="s">
        <v>142</v>
      </c>
      <c r="E246" s="238" t="s">
        <v>1</v>
      </c>
      <c r="F246" s="239" t="s">
        <v>337</v>
      </c>
      <c r="G246" s="237"/>
      <c r="H246" s="238" t="s">
        <v>1</v>
      </c>
      <c r="I246" s="240"/>
      <c r="J246" s="237"/>
      <c r="K246" s="237"/>
      <c r="L246" s="241"/>
      <c r="M246" s="242"/>
      <c r="N246" s="243"/>
      <c r="O246" s="243"/>
      <c r="P246" s="243"/>
      <c r="Q246" s="243"/>
      <c r="R246" s="243"/>
      <c r="S246" s="243"/>
      <c r="T246" s="244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T246" s="245" t="s">
        <v>142</v>
      </c>
      <c r="AU246" s="245" t="s">
        <v>91</v>
      </c>
      <c r="AV246" s="13" t="s">
        <v>89</v>
      </c>
      <c r="AW246" s="13" t="s">
        <v>36</v>
      </c>
      <c r="AX246" s="13" t="s">
        <v>81</v>
      </c>
      <c r="AY246" s="245" t="s">
        <v>130</v>
      </c>
    </row>
    <row r="247" s="13" customFormat="1">
      <c r="A247" s="13"/>
      <c r="B247" s="236"/>
      <c r="C247" s="237"/>
      <c r="D247" s="230" t="s">
        <v>142</v>
      </c>
      <c r="E247" s="238" t="s">
        <v>1</v>
      </c>
      <c r="F247" s="239" t="s">
        <v>262</v>
      </c>
      <c r="G247" s="237"/>
      <c r="H247" s="238" t="s">
        <v>1</v>
      </c>
      <c r="I247" s="240"/>
      <c r="J247" s="237"/>
      <c r="K247" s="237"/>
      <c r="L247" s="241"/>
      <c r="M247" s="242"/>
      <c r="N247" s="243"/>
      <c r="O247" s="243"/>
      <c r="P247" s="243"/>
      <c r="Q247" s="243"/>
      <c r="R247" s="243"/>
      <c r="S247" s="243"/>
      <c r="T247" s="244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T247" s="245" t="s">
        <v>142</v>
      </c>
      <c r="AU247" s="245" t="s">
        <v>91</v>
      </c>
      <c r="AV247" s="13" t="s">
        <v>89</v>
      </c>
      <c r="AW247" s="13" t="s">
        <v>36</v>
      </c>
      <c r="AX247" s="13" t="s">
        <v>81</v>
      </c>
      <c r="AY247" s="245" t="s">
        <v>130</v>
      </c>
    </row>
    <row r="248" s="13" customFormat="1">
      <c r="A248" s="13"/>
      <c r="B248" s="236"/>
      <c r="C248" s="237"/>
      <c r="D248" s="230" t="s">
        <v>142</v>
      </c>
      <c r="E248" s="238" t="s">
        <v>1</v>
      </c>
      <c r="F248" s="239" t="s">
        <v>263</v>
      </c>
      <c r="G248" s="237"/>
      <c r="H248" s="238" t="s">
        <v>1</v>
      </c>
      <c r="I248" s="240"/>
      <c r="J248" s="237"/>
      <c r="K248" s="237"/>
      <c r="L248" s="241"/>
      <c r="M248" s="242"/>
      <c r="N248" s="243"/>
      <c r="O248" s="243"/>
      <c r="P248" s="243"/>
      <c r="Q248" s="243"/>
      <c r="R248" s="243"/>
      <c r="S248" s="243"/>
      <c r="T248" s="244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T248" s="245" t="s">
        <v>142</v>
      </c>
      <c r="AU248" s="245" t="s">
        <v>91</v>
      </c>
      <c r="AV248" s="13" t="s">
        <v>89</v>
      </c>
      <c r="AW248" s="13" t="s">
        <v>36</v>
      </c>
      <c r="AX248" s="13" t="s">
        <v>81</v>
      </c>
      <c r="AY248" s="245" t="s">
        <v>130</v>
      </c>
    </row>
    <row r="249" s="13" customFormat="1">
      <c r="A249" s="13"/>
      <c r="B249" s="236"/>
      <c r="C249" s="237"/>
      <c r="D249" s="230" t="s">
        <v>142</v>
      </c>
      <c r="E249" s="238" t="s">
        <v>1</v>
      </c>
      <c r="F249" s="239" t="s">
        <v>339</v>
      </c>
      <c r="G249" s="237"/>
      <c r="H249" s="238" t="s">
        <v>1</v>
      </c>
      <c r="I249" s="240"/>
      <c r="J249" s="237"/>
      <c r="K249" s="237"/>
      <c r="L249" s="241"/>
      <c r="M249" s="242"/>
      <c r="N249" s="243"/>
      <c r="O249" s="243"/>
      <c r="P249" s="243"/>
      <c r="Q249" s="243"/>
      <c r="R249" s="243"/>
      <c r="S249" s="243"/>
      <c r="T249" s="244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T249" s="245" t="s">
        <v>142</v>
      </c>
      <c r="AU249" s="245" t="s">
        <v>91</v>
      </c>
      <c r="AV249" s="13" t="s">
        <v>89</v>
      </c>
      <c r="AW249" s="13" t="s">
        <v>36</v>
      </c>
      <c r="AX249" s="13" t="s">
        <v>81</v>
      </c>
      <c r="AY249" s="245" t="s">
        <v>130</v>
      </c>
    </row>
    <row r="250" s="14" customFormat="1">
      <c r="A250" s="14"/>
      <c r="B250" s="246"/>
      <c r="C250" s="247"/>
      <c r="D250" s="230" t="s">
        <v>142</v>
      </c>
      <c r="E250" s="248" t="s">
        <v>1</v>
      </c>
      <c r="F250" s="249" t="s">
        <v>351</v>
      </c>
      <c r="G250" s="247"/>
      <c r="H250" s="250">
        <v>362.39999999999998</v>
      </c>
      <c r="I250" s="251"/>
      <c r="J250" s="247"/>
      <c r="K250" s="247"/>
      <c r="L250" s="252"/>
      <c r="M250" s="253"/>
      <c r="N250" s="254"/>
      <c r="O250" s="254"/>
      <c r="P250" s="254"/>
      <c r="Q250" s="254"/>
      <c r="R250" s="254"/>
      <c r="S250" s="254"/>
      <c r="T250" s="2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T250" s="256" t="s">
        <v>142</v>
      </c>
      <c r="AU250" s="256" t="s">
        <v>91</v>
      </c>
      <c r="AV250" s="14" t="s">
        <v>91</v>
      </c>
      <c r="AW250" s="14" t="s">
        <v>36</v>
      </c>
      <c r="AX250" s="14" t="s">
        <v>89</v>
      </c>
      <c r="AY250" s="256" t="s">
        <v>130</v>
      </c>
    </row>
    <row r="251" s="12" customFormat="1" ht="22.8" customHeight="1">
      <c r="A251" s="12"/>
      <c r="B251" s="201"/>
      <c r="C251" s="202"/>
      <c r="D251" s="203" t="s">
        <v>80</v>
      </c>
      <c r="E251" s="215" t="s">
        <v>168</v>
      </c>
      <c r="F251" s="215" t="s">
        <v>169</v>
      </c>
      <c r="G251" s="202"/>
      <c r="H251" s="202"/>
      <c r="I251" s="205"/>
      <c r="J251" s="216">
        <f>BK251</f>
        <v>0</v>
      </c>
      <c r="K251" s="202"/>
      <c r="L251" s="207"/>
      <c r="M251" s="208"/>
      <c r="N251" s="209"/>
      <c r="O251" s="209"/>
      <c r="P251" s="210">
        <f>SUM(P252:P315)</f>
        <v>0</v>
      </c>
      <c r="Q251" s="209"/>
      <c r="R251" s="210">
        <f>SUM(R252:R315)</f>
        <v>0</v>
      </c>
      <c r="S251" s="209"/>
      <c r="T251" s="211">
        <f>SUM(T252:T315)</f>
        <v>0</v>
      </c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R251" s="212" t="s">
        <v>89</v>
      </c>
      <c r="AT251" s="213" t="s">
        <v>80</v>
      </c>
      <c r="AU251" s="213" t="s">
        <v>89</v>
      </c>
      <c r="AY251" s="212" t="s">
        <v>130</v>
      </c>
      <c r="BK251" s="214">
        <f>SUM(BK252:BK315)</f>
        <v>0</v>
      </c>
    </row>
    <row r="252" s="2" customFormat="1" ht="21.75" customHeight="1">
      <c r="A252" s="37"/>
      <c r="B252" s="38"/>
      <c r="C252" s="217" t="s">
        <v>352</v>
      </c>
      <c r="D252" s="217" t="s">
        <v>132</v>
      </c>
      <c r="E252" s="218" t="s">
        <v>353</v>
      </c>
      <c r="F252" s="219" t="s">
        <v>354</v>
      </c>
      <c r="G252" s="220" t="s">
        <v>135</v>
      </c>
      <c r="H252" s="221">
        <v>54.359999999999999</v>
      </c>
      <c r="I252" s="222"/>
      <c r="J252" s="223">
        <f>ROUND(I252*H252,2)</f>
        <v>0</v>
      </c>
      <c r="K252" s="219" t="s">
        <v>136</v>
      </c>
      <c r="L252" s="43"/>
      <c r="M252" s="224" t="s">
        <v>1</v>
      </c>
      <c r="N252" s="225" t="s">
        <v>46</v>
      </c>
      <c r="O252" s="90"/>
      <c r="P252" s="226">
        <f>O252*H252</f>
        <v>0</v>
      </c>
      <c r="Q252" s="226">
        <v>0</v>
      </c>
      <c r="R252" s="226">
        <f>Q252*H252</f>
        <v>0</v>
      </c>
      <c r="S252" s="226">
        <v>0</v>
      </c>
      <c r="T252" s="227">
        <f>S252*H252</f>
        <v>0</v>
      </c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R252" s="228" t="s">
        <v>137</v>
      </c>
      <c r="AT252" s="228" t="s">
        <v>132</v>
      </c>
      <c r="AU252" s="228" t="s">
        <v>91</v>
      </c>
      <c r="AY252" s="16" t="s">
        <v>130</v>
      </c>
      <c r="BE252" s="229">
        <f>IF(N252="základní",J252,0)</f>
        <v>0</v>
      </c>
      <c r="BF252" s="229">
        <f>IF(N252="snížená",J252,0)</f>
        <v>0</v>
      </c>
      <c r="BG252" s="229">
        <f>IF(N252="zákl. přenesená",J252,0)</f>
        <v>0</v>
      </c>
      <c r="BH252" s="229">
        <f>IF(N252="sníž. přenesená",J252,0)</f>
        <v>0</v>
      </c>
      <c r="BI252" s="229">
        <f>IF(N252="nulová",J252,0)</f>
        <v>0</v>
      </c>
      <c r="BJ252" s="16" t="s">
        <v>89</v>
      </c>
      <c r="BK252" s="229">
        <f>ROUND(I252*H252,2)</f>
        <v>0</v>
      </c>
      <c r="BL252" s="16" t="s">
        <v>137</v>
      </c>
      <c r="BM252" s="228" t="s">
        <v>355</v>
      </c>
    </row>
    <row r="253" s="2" customFormat="1">
      <c r="A253" s="37"/>
      <c r="B253" s="38"/>
      <c r="C253" s="39"/>
      <c r="D253" s="230" t="s">
        <v>139</v>
      </c>
      <c r="E253" s="39"/>
      <c r="F253" s="231" t="s">
        <v>354</v>
      </c>
      <c r="G253" s="39"/>
      <c r="H253" s="39"/>
      <c r="I253" s="232"/>
      <c r="J253" s="39"/>
      <c r="K253" s="39"/>
      <c r="L253" s="43"/>
      <c r="M253" s="233"/>
      <c r="N253" s="234"/>
      <c r="O253" s="90"/>
      <c r="P253" s="90"/>
      <c r="Q253" s="90"/>
      <c r="R253" s="90"/>
      <c r="S253" s="90"/>
      <c r="T253" s="91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T253" s="16" t="s">
        <v>139</v>
      </c>
      <c r="AU253" s="16" t="s">
        <v>91</v>
      </c>
    </row>
    <row r="254" s="2" customFormat="1">
      <c r="A254" s="37"/>
      <c r="B254" s="38"/>
      <c r="C254" s="39"/>
      <c r="D254" s="230" t="s">
        <v>140</v>
      </c>
      <c r="E254" s="39"/>
      <c r="F254" s="235" t="s">
        <v>356</v>
      </c>
      <c r="G254" s="39"/>
      <c r="H254" s="39"/>
      <c r="I254" s="232"/>
      <c r="J254" s="39"/>
      <c r="K254" s="39"/>
      <c r="L254" s="43"/>
      <c r="M254" s="233"/>
      <c r="N254" s="234"/>
      <c r="O254" s="90"/>
      <c r="P254" s="90"/>
      <c r="Q254" s="90"/>
      <c r="R254" s="90"/>
      <c r="S254" s="90"/>
      <c r="T254" s="91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T254" s="16" t="s">
        <v>140</v>
      </c>
      <c r="AU254" s="16" t="s">
        <v>91</v>
      </c>
    </row>
    <row r="255" s="13" customFormat="1">
      <c r="A255" s="13"/>
      <c r="B255" s="236"/>
      <c r="C255" s="237"/>
      <c r="D255" s="230" t="s">
        <v>142</v>
      </c>
      <c r="E255" s="238" t="s">
        <v>1</v>
      </c>
      <c r="F255" s="239" t="s">
        <v>337</v>
      </c>
      <c r="G255" s="237"/>
      <c r="H255" s="238" t="s">
        <v>1</v>
      </c>
      <c r="I255" s="240"/>
      <c r="J255" s="237"/>
      <c r="K255" s="237"/>
      <c r="L255" s="241"/>
      <c r="M255" s="242"/>
      <c r="N255" s="243"/>
      <c r="O255" s="243"/>
      <c r="P255" s="243"/>
      <c r="Q255" s="243"/>
      <c r="R255" s="243"/>
      <c r="S255" s="243"/>
      <c r="T255" s="244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T255" s="245" t="s">
        <v>142</v>
      </c>
      <c r="AU255" s="245" t="s">
        <v>91</v>
      </c>
      <c r="AV255" s="13" t="s">
        <v>89</v>
      </c>
      <c r="AW255" s="13" t="s">
        <v>36</v>
      </c>
      <c r="AX255" s="13" t="s">
        <v>81</v>
      </c>
      <c r="AY255" s="245" t="s">
        <v>130</v>
      </c>
    </row>
    <row r="256" s="13" customFormat="1">
      <c r="A256" s="13"/>
      <c r="B256" s="236"/>
      <c r="C256" s="237"/>
      <c r="D256" s="230" t="s">
        <v>142</v>
      </c>
      <c r="E256" s="238" t="s">
        <v>1</v>
      </c>
      <c r="F256" s="239" t="s">
        <v>357</v>
      </c>
      <c r="G256" s="237"/>
      <c r="H256" s="238" t="s">
        <v>1</v>
      </c>
      <c r="I256" s="240"/>
      <c r="J256" s="237"/>
      <c r="K256" s="237"/>
      <c r="L256" s="241"/>
      <c r="M256" s="242"/>
      <c r="N256" s="243"/>
      <c r="O256" s="243"/>
      <c r="P256" s="243"/>
      <c r="Q256" s="243"/>
      <c r="R256" s="243"/>
      <c r="S256" s="243"/>
      <c r="T256" s="244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T256" s="245" t="s">
        <v>142</v>
      </c>
      <c r="AU256" s="245" t="s">
        <v>91</v>
      </c>
      <c r="AV256" s="13" t="s">
        <v>89</v>
      </c>
      <c r="AW256" s="13" t="s">
        <v>36</v>
      </c>
      <c r="AX256" s="13" t="s">
        <v>81</v>
      </c>
      <c r="AY256" s="245" t="s">
        <v>130</v>
      </c>
    </row>
    <row r="257" s="13" customFormat="1">
      <c r="A257" s="13"/>
      <c r="B257" s="236"/>
      <c r="C257" s="237"/>
      <c r="D257" s="230" t="s">
        <v>142</v>
      </c>
      <c r="E257" s="238" t="s">
        <v>1</v>
      </c>
      <c r="F257" s="239" t="s">
        <v>262</v>
      </c>
      <c r="G257" s="237"/>
      <c r="H257" s="238" t="s">
        <v>1</v>
      </c>
      <c r="I257" s="240"/>
      <c r="J257" s="237"/>
      <c r="K257" s="237"/>
      <c r="L257" s="241"/>
      <c r="M257" s="242"/>
      <c r="N257" s="243"/>
      <c r="O257" s="243"/>
      <c r="P257" s="243"/>
      <c r="Q257" s="243"/>
      <c r="R257" s="243"/>
      <c r="S257" s="243"/>
      <c r="T257" s="244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T257" s="245" t="s">
        <v>142</v>
      </c>
      <c r="AU257" s="245" t="s">
        <v>91</v>
      </c>
      <c r="AV257" s="13" t="s">
        <v>89</v>
      </c>
      <c r="AW257" s="13" t="s">
        <v>36</v>
      </c>
      <c r="AX257" s="13" t="s">
        <v>81</v>
      </c>
      <c r="AY257" s="245" t="s">
        <v>130</v>
      </c>
    </row>
    <row r="258" s="13" customFormat="1">
      <c r="A258" s="13"/>
      <c r="B258" s="236"/>
      <c r="C258" s="237"/>
      <c r="D258" s="230" t="s">
        <v>142</v>
      </c>
      <c r="E258" s="238" t="s">
        <v>1</v>
      </c>
      <c r="F258" s="239" t="s">
        <v>263</v>
      </c>
      <c r="G258" s="237"/>
      <c r="H258" s="238" t="s">
        <v>1</v>
      </c>
      <c r="I258" s="240"/>
      <c r="J258" s="237"/>
      <c r="K258" s="237"/>
      <c r="L258" s="241"/>
      <c r="M258" s="242"/>
      <c r="N258" s="243"/>
      <c r="O258" s="243"/>
      <c r="P258" s="243"/>
      <c r="Q258" s="243"/>
      <c r="R258" s="243"/>
      <c r="S258" s="243"/>
      <c r="T258" s="244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T258" s="245" t="s">
        <v>142</v>
      </c>
      <c r="AU258" s="245" t="s">
        <v>91</v>
      </c>
      <c r="AV258" s="13" t="s">
        <v>89</v>
      </c>
      <c r="AW258" s="13" t="s">
        <v>36</v>
      </c>
      <c r="AX258" s="13" t="s">
        <v>81</v>
      </c>
      <c r="AY258" s="245" t="s">
        <v>130</v>
      </c>
    </row>
    <row r="259" s="13" customFormat="1">
      <c r="A259" s="13"/>
      <c r="B259" s="236"/>
      <c r="C259" s="237"/>
      <c r="D259" s="230" t="s">
        <v>142</v>
      </c>
      <c r="E259" s="238" t="s">
        <v>1</v>
      </c>
      <c r="F259" s="239" t="s">
        <v>295</v>
      </c>
      <c r="G259" s="237"/>
      <c r="H259" s="238" t="s">
        <v>1</v>
      </c>
      <c r="I259" s="240"/>
      <c r="J259" s="237"/>
      <c r="K259" s="237"/>
      <c r="L259" s="241"/>
      <c r="M259" s="242"/>
      <c r="N259" s="243"/>
      <c r="O259" s="243"/>
      <c r="P259" s="243"/>
      <c r="Q259" s="243"/>
      <c r="R259" s="243"/>
      <c r="S259" s="243"/>
      <c r="T259" s="244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T259" s="245" t="s">
        <v>142</v>
      </c>
      <c r="AU259" s="245" t="s">
        <v>91</v>
      </c>
      <c r="AV259" s="13" t="s">
        <v>89</v>
      </c>
      <c r="AW259" s="13" t="s">
        <v>36</v>
      </c>
      <c r="AX259" s="13" t="s">
        <v>81</v>
      </c>
      <c r="AY259" s="245" t="s">
        <v>130</v>
      </c>
    </row>
    <row r="260" s="13" customFormat="1">
      <c r="A260" s="13"/>
      <c r="B260" s="236"/>
      <c r="C260" s="237"/>
      <c r="D260" s="230" t="s">
        <v>142</v>
      </c>
      <c r="E260" s="238" t="s">
        <v>1</v>
      </c>
      <c r="F260" s="239" t="s">
        <v>339</v>
      </c>
      <c r="G260" s="237"/>
      <c r="H260" s="238" t="s">
        <v>1</v>
      </c>
      <c r="I260" s="240"/>
      <c r="J260" s="237"/>
      <c r="K260" s="237"/>
      <c r="L260" s="241"/>
      <c r="M260" s="242"/>
      <c r="N260" s="243"/>
      <c r="O260" s="243"/>
      <c r="P260" s="243"/>
      <c r="Q260" s="243"/>
      <c r="R260" s="243"/>
      <c r="S260" s="243"/>
      <c r="T260" s="244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45" t="s">
        <v>142</v>
      </c>
      <c r="AU260" s="245" t="s">
        <v>91</v>
      </c>
      <c r="AV260" s="13" t="s">
        <v>89</v>
      </c>
      <c r="AW260" s="13" t="s">
        <v>36</v>
      </c>
      <c r="AX260" s="13" t="s">
        <v>81</v>
      </c>
      <c r="AY260" s="245" t="s">
        <v>130</v>
      </c>
    </row>
    <row r="261" s="14" customFormat="1">
      <c r="A261" s="14"/>
      <c r="B261" s="246"/>
      <c r="C261" s="247"/>
      <c r="D261" s="230" t="s">
        <v>142</v>
      </c>
      <c r="E261" s="248" t="s">
        <v>1</v>
      </c>
      <c r="F261" s="249" t="s">
        <v>358</v>
      </c>
      <c r="G261" s="247"/>
      <c r="H261" s="250">
        <v>54.359999999999999</v>
      </c>
      <c r="I261" s="251"/>
      <c r="J261" s="247"/>
      <c r="K261" s="247"/>
      <c r="L261" s="252"/>
      <c r="M261" s="253"/>
      <c r="N261" s="254"/>
      <c r="O261" s="254"/>
      <c r="P261" s="254"/>
      <c r="Q261" s="254"/>
      <c r="R261" s="254"/>
      <c r="S261" s="254"/>
      <c r="T261" s="255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T261" s="256" t="s">
        <v>142</v>
      </c>
      <c r="AU261" s="256" t="s">
        <v>91</v>
      </c>
      <c r="AV261" s="14" t="s">
        <v>91</v>
      </c>
      <c r="AW261" s="14" t="s">
        <v>36</v>
      </c>
      <c r="AX261" s="14" t="s">
        <v>89</v>
      </c>
      <c r="AY261" s="256" t="s">
        <v>130</v>
      </c>
    </row>
    <row r="262" s="2" customFormat="1" ht="24.15" customHeight="1">
      <c r="A262" s="37"/>
      <c r="B262" s="38"/>
      <c r="C262" s="217" t="s">
        <v>359</v>
      </c>
      <c r="D262" s="217" t="s">
        <v>132</v>
      </c>
      <c r="E262" s="218" t="s">
        <v>170</v>
      </c>
      <c r="F262" s="219" t="s">
        <v>171</v>
      </c>
      <c r="G262" s="220" t="s">
        <v>152</v>
      </c>
      <c r="H262" s="221">
        <v>3624</v>
      </c>
      <c r="I262" s="222"/>
      <c r="J262" s="223">
        <f>ROUND(I262*H262,2)</f>
        <v>0</v>
      </c>
      <c r="K262" s="219" t="s">
        <v>136</v>
      </c>
      <c r="L262" s="43"/>
      <c r="M262" s="224" t="s">
        <v>1</v>
      </c>
      <c r="N262" s="225" t="s">
        <v>46</v>
      </c>
      <c r="O262" s="90"/>
      <c r="P262" s="226">
        <f>O262*H262</f>
        <v>0</v>
      </c>
      <c r="Q262" s="226">
        <v>0</v>
      </c>
      <c r="R262" s="226">
        <f>Q262*H262</f>
        <v>0</v>
      </c>
      <c r="S262" s="226">
        <v>0</v>
      </c>
      <c r="T262" s="227">
        <f>S262*H262</f>
        <v>0</v>
      </c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R262" s="228" t="s">
        <v>137</v>
      </c>
      <c r="AT262" s="228" t="s">
        <v>132</v>
      </c>
      <c r="AU262" s="228" t="s">
        <v>91</v>
      </c>
      <c r="AY262" s="16" t="s">
        <v>130</v>
      </c>
      <c r="BE262" s="229">
        <f>IF(N262="základní",J262,0)</f>
        <v>0</v>
      </c>
      <c r="BF262" s="229">
        <f>IF(N262="snížená",J262,0)</f>
        <v>0</v>
      </c>
      <c r="BG262" s="229">
        <f>IF(N262="zákl. přenesená",J262,0)</f>
        <v>0</v>
      </c>
      <c r="BH262" s="229">
        <f>IF(N262="sníž. přenesená",J262,0)</f>
        <v>0</v>
      </c>
      <c r="BI262" s="229">
        <f>IF(N262="nulová",J262,0)</f>
        <v>0</v>
      </c>
      <c r="BJ262" s="16" t="s">
        <v>89</v>
      </c>
      <c r="BK262" s="229">
        <f>ROUND(I262*H262,2)</f>
        <v>0</v>
      </c>
      <c r="BL262" s="16" t="s">
        <v>137</v>
      </c>
      <c r="BM262" s="228" t="s">
        <v>360</v>
      </c>
    </row>
    <row r="263" s="2" customFormat="1">
      <c r="A263" s="37"/>
      <c r="B263" s="38"/>
      <c r="C263" s="39"/>
      <c r="D263" s="230" t="s">
        <v>139</v>
      </c>
      <c r="E263" s="39"/>
      <c r="F263" s="231" t="s">
        <v>171</v>
      </c>
      <c r="G263" s="39"/>
      <c r="H263" s="39"/>
      <c r="I263" s="232"/>
      <c r="J263" s="39"/>
      <c r="K263" s="39"/>
      <c r="L263" s="43"/>
      <c r="M263" s="233"/>
      <c r="N263" s="234"/>
      <c r="O263" s="90"/>
      <c r="P263" s="90"/>
      <c r="Q263" s="90"/>
      <c r="R263" s="90"/>
      <c r="S263" s="90"/>
      <c r="T263" s="91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T263" s="16" t="s">
        <v>139</v>
      </c>
      <c r="AU263" s="16" t="s">
        <v>91</v>
      </c>
    </row>
    <row r="264" s="2" customFormat="1">
      <c r="A264" s="37"/>
      <c r="B264" s="38"/>
      <c r="C264" s="39"/>
      <c r="D264" s="230" t="s">
        <v>140</v>
      </c>
      <c r="E264" s="39"/>
      <c r="F264" s="235" t="s">
        <v>173</v>
      </c>
      <c r="G264" s="39"/>
      <c r="H264" s="39"/>
      <c r="I264" s="232"/>
      <c r="J264" s="39"/>
      <c r="K264" s="39"/>
      <c r="L264" s="43"/>
      <c r="M264" s="233"/>
      <c r="N264" s="234"/>
      <c r="O264" s="90"/>
      <c r="P264" s="90"/>
      <c r="Q264" s="90"/>
      <c r="R264" s="90"/>
      <c r="S264" s="90"/>
      <c r="T264" s="91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T264" s="16" t="s">
        <v>140</v>
      </c>
      <c r="AU264" s="16" t="s">
        <v>91</v>
      </c>
    </row>
    <row r="265" s="13" customFormat="1">
      <c r="A265" s="13"/>
      <c r="B265" s="236"/>
      <c r="C265" s="237"/>
      <c r="D265" s="230" t="s">
        <v>142</v>
      </c>
      <c r="E265" s="238" t="s">
        <v>1</v>
      </c>
      <c r="F265" s="239" t="s">
        <v>174</v>
      </c>
      <c r="G265" s="237"/>
      <c r="H265" s="238" t="s">
        <v>1</v>
      </c>
      <c r="I265" s="240"/>
      <c r="J265" s="237"/>
      <c r="K265" s="237"/>
      <c r="L265" s="241"/>
      <c r="M265" s="242"/>
      <c r="N265" s="243"/>
      <c r="O265" s="243"/>
      <c r="P265" s="243"/>
      <c r="Q265" s="243"/>
      <c r="R265" s="243"/>
      <c r="S265" s="243"/>
      <c r="T265" s="244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T265" s="245" t="s">
        <v>142</v>
      </c>
      <c r="AU265" s="245" t="s">
        <v>91</v>
      </c>
      <c r="AV265" s="13" t="s">
        <v>89</v>
      </c>
      <c r="AW265" s="13" t="s">
        <v>36</v>
      </c>
      <c r="AX265" s="13" t="s">
        <v>81</v>
      </c>
      <c r="AY265" s="245" t="s">
        <v>130</v>
      </c>
    </row>
    <row r="266" s="13" customFormat="1">
      <c r="A266" s="13"/>
      <c r="B266" s="236"/>
      <c r="C266" s="237"/>
      <c r="D266" s="230" t="s">
        <v>142</v>
      </c>
      <c r="E266" s="238" t="s">
        <v>1</v>
      </c>
      <c r="F266" s="239" t="s">
        <v>361</v>
      </c>
      <c r="G266" s="237"/>
      <c r="H266" s="238" t="s">
        <v>1</v>
      </c>
      <c r="I266" s="240"/>
      <c r="J266" s="237"/>
      <c r="K266" s="237"/>
      <c r="L266" s="241"/>
      <c r="M266" s="242"/>
      <c r="N266" s="243"/>
      <c r="O266" s="243"/>
      <c r="P266" s="243"/>
      <c r="Q266" s="243"/>
      <c r="R266" s="243"/>
      <c r="S266" s="243"/>
      <c r="T266" s="244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T266" s="245" t="s">
        <v>142</v>
      </c>
      <c r="AU266" s="245" t="s">
        <v>91</v>
      </c>
      <c r="AV266" s="13" t="s">
        <v>89</v>
      </c>
      <c r="AW266" s="13" t="s">
        <v>36</v>
      </c>
      <c r="AX266" s="13" t="s">
        <v>81</v>
      </c>
      <c r="AY266" s="245" t="s">
        <v>130</v>
      </c>
    </row>
    <row r="267" s="13" customFormat="1">
      <c r="A267" s="13"/>
      <c r="B267" s="236"/>
      <c r="C267" s="237"/>
      <c r="D267" s="230" t="s">
        <v>142</v>
      </c>
      <c r="E267" s="238" t="s">
        <v>1</v>
      </c>
      <c r="F267" s="239" t="s">
        <v>176</v>
      </c>
      <c r="G267" s="237"/>
      <c r="H267" s="238" t="s">
        <v>1</v>
      </c>
      <c r="I267" s="240"/>
      <c r="J267" s="237"/>
      <c r="K267" s="237"/>
      <c r="L267" s="241"/>
      <c r="M267" s="242"/>
      <c r="N267" s="243"/>
      <c r="O267" s="243"/>
      <c r="P267" s="243"/>
      <c r="Q267" s="243"/>
      <c r="R267" s="243"/>
      <c r="S267" s="243"/>
      <c r="T267" s="244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T267" s="245" t="s">
        <v>142</v>
      </c>
      <c r="AU267" s="245" t="s">
        <v>91</v>
      </c>
      <c r="AV267" s="13" t="s">
        <v>89</v>
      </c>
      <c r="AW267" s="13" t="s">
        <v>36</v>
      </c>
      <c r="AX267" s="13" t="s">
        <v>81</v>
      </c>
      <c r="AY267" s="245" t="s">
        <v>130</v>
      </c>
    </row>
    <row r="268" s="13" customFormat="1">
      <c r="A268" s="13"/>
      <c r="B268" s="236"/>
      <c r="C268" s="237"/>
      <c r="D268" s="230" t="s">
        <v>142</v>
      </c>
      <c r="E268" s="238" t="s">
        <v>1</v>
      </c>
      <c r="F268" s="239" t="s">
        <v>177</v>
      </c>
      <c r="G268" s="237"/>
      <c r="H268" s="238" t="s">
        <v>1</v>
      </c>
      <c r="I268" s="240"/>
      <c r="J268" s="237"/>
      <c r="K268" s="237"/>
      <c r="L268" s="241"/>
      <c r="M268" s="242"/>
      <c r="N268" s="243"/>
      <c r="O268" s="243"/>
      <c r="P268" s="243"/>
      <c r="Q268" s="243"/>
      <c r="R268" s="243"/>
      <c r="S268" s="243"/>
      <c r="T268" s="244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T268" s="245" t="s">
        <v>142</v>
      </c>
      <c r="AU268" s="245" t="s">
        <v>91</v>
      </c>
      <c r="AV268" s="13" t="s">
        <v>89</v>
      </c>
      <c r="AW268" s="13" t="s">
        <v>36</v>
      </c>
      <c r="AX268" s="13" t="s">
        <v>81</v>
      </c>
      <c r="AY268" s="245" t="s">
        <v>130</v>
      </c>
    </row>
    <row r="269" s="13" customFormat="1">
      <c r="A269" s="13"/>
      <c r="B269" s="236"/>
      <c r="C269" s="237"/>
      <c r="D269" s="230" t="s">
        <v>142</v>
      </c>
      <c r="E269" s="238" t="s">
        <v>1</v>
      </c>
      <c r="F269" s="239" t="s">
        <v>178</v>
      </c>
      <c r="G269" s="237"/>
      <c r="H269" s="238" t="s">
        <v>1</v>
      </c>
      <c r="I269" s="240"/>
      <c r="J269" s="237"/>
      <c r="K269" s="237"/>
      <c r="L269" s="241"/>
      <c r="M269" s="242"/>
      <c r="N269" s="243"/>
      <c r="O269" s="243"/>
      <c r="P269" s="243"/>
      <c r="Q269" s="243"/>
      <c r="R269" s="243"/>
      <c r="S269" s="243"/>
      <c r="T269" s="244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45" t="s">
        <v>142</v>
      </c>
      <c r="AU269" s="245" t="s">
        <v>91</v>
      </c>
      <c r="AV269" s="13" t="s">
        <v>89</v>
      </c>
      <c r="AW269" s="13" t="s">
        <v>36</v>
      </c>
      <c r="AX269" s="13" t="s">
        <v>81</v>
      </c>
      <c r="AY269" s="245" t="s">
        <v>130</v>
      </c>
    </row>
    <row r="270" s="13" customFormat="1">
      <c r="A270" s="13"/>
      <c r="B270" s="236"/>
      <c r="C270" s="237"/>
      <c r="D270" s="230" t="s">
        <v>142</v>
      </c>
      <c r="E270" s="238" t="s">
        <v>1</v>
      </c>
      <c r="F270" s="239" t="s">
        <v>179</v>
      </c>
      <c r="G270" s="237"/>
      <c r="H270" s="238" t="s">
        <v>1</v>
      </c>
      <c r="I270" s="240"/>
      <c r="J270" s="237"/>
      <c r="K270" s="237"/>
      <c r="L270" s="241"/>
      <c r="M270" s="242"/>
      <c r="N270" s="243"/>
      <c r="O270" s="243"/>
      <c r="P270" s="243"/>
      <c r="Q270" s="243"/>
      <c r="R270" s="243"/>
      <c r="S270" s="243"/>
      <c r="T270" s="244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T270" s="245" t="s">
        <v>142</v>
      </c>
      <c r="AU270" s="245" t="s">
        <v>91</v>
      </c>
      <c r="AV270" s="13" t="s">
        <v>89</v>
      </c>
      <c r="AW270" s="13" t="s">
        <v>36</v>
      </c>
      <c r="AX270" s="13" t="s">
        <v>81</v>
      </c>
      <c r="AY270" s="245" t="s">
        <v>130</v>
      </c>
    </row>
    <row r="271" s="13" customFormat="1">
      <c r="A271" s="13"/>
      <c r="B271" s="236"/>
      <c r="C271" s="237"/>
      <c r="D271" s="230" t="s">
        <v>142</v>
      </c>
      <c r="E271" s="238" t="s">
        <v>1</v>
      </c>
      <c r="F271" s="239" t="s">
        <v>180</v>
      </c>
      <c r="G271" s="237"/>
      <c r="H271" s="238" t="s">
        <v>1</v>
      </c>
      <c r="I271" s="240"/>
      <c r="J271" s="237"/>
      <c r="K271" s="237"/>
      <c r="L271" s="241"/>
      <c r="M271" s="242"/>
      <c r="N271" s="243"/>
      <c r="O271" s="243"/>
      <c r="P271" s="243"/>
      <c r="Q271" s="243"/>
      <c r="R271" s="243"/>
      <c r="S271" s="243"/>
      <c r="T271" s="244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45" t="s">
        <v>142</v>
      </c>
      <c r="AU271" s="245" t="s">
        <v>91</v>
      </c>
      <c r="AV271" s="13" t="s">
        <v>89</v>
      </c>
      <c r="AW271" s="13" t="s">
        <v>36</v>
      </c>
      <c r="AX271" s="13" t="s">
        <v>81</v>
      </c>
      <c r="AY271" s="245" t="s">
        <v>130</v>
      </c>
    </row>
    <row r="272" s="13" customFormat="1">
      <c r="A272" s="13"/>
      <c r="B272" s="236"/>
      <c r="C272" s="237"/>
      <c r="D272" s="230" t="s">
        <v>142</v>
      </c>
      <c r="E272" s="238" t="s">
        <v>1</v>
      </c>
      <c r="F272" s="239" t="s">
        <v>262</v>
      </c>
      <c r="G272" s="237"/>
      <c r="H272" s="238" t="s">
        <v>1</v>
      </c>
      <c r="I272" s="240"/>
      <c r="J272" s="237"/>
      <c r="K272" s="237"/>
      <c r="L272" s="241"/>
      <c r="M272" s="242"/>
      <c r="N272" s="243"/>
      <c r="O272" s="243"/>
      <c r="P272" s="243"/>
      <c r="Q272" s="243"/>
      <c r="R272" s="243"/>
      <c r="S272" s="243"/>
      <c r="T272" s="244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T272" s="245" t="s">
        <v>142</v>
      </c>
      <c r="AU272" s="245" t="s">
        <v>91</v>
      </c>
      <c r="AV272" s="13" t="s">
        <v>89</v>
      </c>
      <c r="AW272" s="13" t="s">
        <v>36</v>
      </c>
      <c r="AX272" s="13" t="s">
        <v>81</v>
      </c>
      <c r="AY272" s="245" t="s">
        <v>130</v>
      </c>
    </row>
    <row r="273" s="13" customFormat="1">
      <c r="A273" s="13"/>
      <c r="B273" s="236"/>
      <c r="C273" s="237"/>
      <c r="D273" s="230" t="s">
        <v>142</v>
      </c>
      <c r="E273" s="238" t="s">
        <v>1</v>
      </c>
      <c r="F273" s="239" t="s">
        <v>263</v>
      </c>
      <c r="G273" s="237"/>
      <c r="H273" s="238" t="s">
        <v>1</v>
      </c>
      <c r="I273" s="240"/>
      <c r="J273" s="237"/>
      <c r="K273" s="237"/>
      <c r="L273" s="241"/>
      <c r="M273" s="242"/>
      <c r="N273" s="243"/>
      <c r="O273" s="243"/>
      <c r="P273" s="243"/>
      <c r="Q273" s="243"/>
      <c r="R273" s="243"/>
      <c r="S273" s="243"/>
      <c r="T273" s="244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T273" s="245" t="s">
        <v>142</v>
      </c>
      <c r="AU273" s="245" t="s">
        <v>91</v>
      </c>
      <c r="AV273" s="13" t="s">
        <v>89</v>
      </c>
      <c r="AW273" s="13" t="s">
        <v>36</v>
      </c>
      <c r="AX273" s="13" t="s">
        <v>81</v>
      </c>
      <c r="AY273" s="245" t="s">
        <v>130</v>
      </c>
    </row>
    <row r="274" s="14" customFormat="1">
      <c r="A274" s="14"/>
      <c r="B274" s="246"/>
      <c r="C274" s="247"/>
      <c r="D274" s="230" t="s">
        <v>142</v>
      </c>
      <c r="E274" s="248" t="s">
        <v>1</v>
      </c>
      <c r="F274" s="249" t="s">
        <v>347</v>
      </c>
      <c r="G274" s="247"/>
      <c r="H274" s="250">
        <v>3624</v>
      </c>
      <c r="I274" s="251"/>
      <c r="J274" s="247"/>
      <c r="K274" s="247"/>
      <c r="L274" s="252"/>
      <c r="M274" s="253"/>
      <c r="N274" s="254"/>
      <c r="O274" s="254"/>
      <c r="P274" s="254"/>
      <c r="Q274" s="254"/>
      <c r="R274" s="254"/>
      <c r="S274" s="254"/>
      <c r="T274" s="255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T274" s="256" t="s">
        <v>142</v>
      </c>
      <c r="AU274" s="256" t="s">
        <v>91</v>
      </c>
      <c r="AV274" s="14" t="s">
        <v>91</v>
      </c>
      <c r="AW274" s="14" t="s">
        <v>36</v>
      </c>
      <c r="AX274" s="14" t="s">
        <v>89</v>
      </c>
      <c r="AY274" s="256" t="s">
        <v>130</v>
      </c>
    </row>
    <row r="275" s="2" customFormat="1" ht="24.15" customHeight="1">
      <c r="A275" s="37"/>
      <c r="B275" s="38"/>
      <c r="C275" s="217" t="s">
        <v>184</v>
      </c>
      <c r="D275" s="217" t="s">
        <v>132</v>
      </c>
      <c r="E275" s="218" t="s">
        <v>185</v>
      </c>
      <c r="F275" s="219" t="s">
        <v>186</v>
      </c>
      <c r="G275" s="220" t="s">
        <v>152</v>
      </c>
      <c r="H275" s="221">
        <v>417</v>
      </c>
      <c r="I275" s="222"/>
      <c r="J275" s="223">
        <f>ROUND(I275*H275,2)</f>
        <v>0</v>
      </c>
      <c r="K275" s="219" t="s">
        <v>136</v>
      </c>
      <c r="L275" s="43"/>
      <c r="M275" s="224" t="s">
        <v>1</v>
      </c>
      <c r="N275" s="225" t="s">
        <v>46</v>
      </c>
      <c r="O275" s="90"/>
      <c r="P275" s="226">
        <f>O275*H275</f>
        <v>0</v>
      </c>
      <c r="Q275" s="226">
        <v>0</v>
      </c>
      <c r="R275" s="226">
        <f>Q275*H275</f>
        <v>0</v>
      </c>
      <c r="S275" s="226">
        <v>0</v>
      </c>
      <c r="T275" s="227">
        <f>S275*H275</f>
        <v>0</v>
      </c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R275" s="228" t="s">
        <v>137</v>
      </c>
      <c r="AT275" s="228" t="s">
        <v>132</v>
      </c>
      <c r="AU275" s="228" t="s">
        <v>91</v>
      </c>
      <c r="AY275" s="16" t="s">
        <v>130</v>
      </c>
      <c r="BE275" s="229">
        <f>IF(N275="základní",J275,0)</f>
        <v>0</v>
      </c>
      <c r="BF275" s="229">
        <f>IF(N275="snížená",J275,0)</f>
        <v>0</v>
      </c>
      <c r="BG275" s="229">
        <f>IF(N275="zákl. přenesená",J275,0)</f>
        <v>0</v>
      </c>
      <c r="BH275" s="229">
        <f>IF(N275="sníž. přenesená",J275,0)</f>
        <v>0</v>
      </c>
      <c r="BI275" s="229">
        <f>IF(N275="nulová",J275,0)</f>
        <v>0</v>
      </c>
      <c r="BJ275" s="16" t="s">
        <v>89</v>
      </c>
      <c r="BK275" s="229">
        <f>ROUND(I275*H275,2)</f>
        <v>0</v>
      </c>
      <c r="BL275" s="16" t="s">
        <v>137</v>
      </c>
      <c r="BM275" s="228" t="s">
        <v>187</v>
      </c>
    </row>
    <row r="276" s="2" customFormat="1">
      <c r="A276" s="37"/>
      <c r="B276" s="38"/>
      <c r="C276" s="39"/>
      <c r="D276" s="230" t="s">
        <v>139</v>
      </c>
      <c r="E276" s="39"/>
      <c r="F276" s="231" t="s">
        <v>186</v>
      </c>
      <c r="G276" s="39"/>
      <c r="H276" s="39"/>
      <c r="I276" s="232"/>
      <c r="J276" s="39"/>
      <c r="K276" s="39"/>
      <c r="L276" s="43"/>
      <c r="M276" s="233"/>
      <c r="N276" s="234"/>
      <c r="O276" s="90"/>
      <c r="P276" s="90"/>
      <c r="Q276" s="90"/>
      <c r="R276" s="90"/>
      <c r="S276" s="90"/>
      <c r="T276" s="91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T276" s="16" t="s">
        <v>139</v>
      </c>
      <c r="AU276" s="16" t="s">
        <v>91</v>
      </c>
    </row>
    <row r="277" s="2" customFormat="1">
      <c r="A277" s="37"/>
      <c r="B277" s="38"/>
      <c r="C277" s="39"/>
      <c r="D277" s="230" t="s">
        <v>140</v>
      </c>
      <c r="E277" s="39"/>
      <c r="F277" s="235" t="s">
        <v>188</v>
      </c>
      <c r="G277" s="39"/>
      <c r="H277" s="39"/>
      <c r="I277" s="232"/>
      <c r="J277" s="39"/>
      <c r="K277" s="39"/>
      <c r="L277" s="43"/>
      <c r="M277" s="233"/>
      <c r="N277" s="234"/>
      <c r="O277" s="90"/>
      <c r="P277" s="90"/>
      <c r="Q277" s="90"/>
      <c r="R277" s="90"/>
      <c r="S277" s="90"/>
      <c r="T277" s="91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T277" s="16" t="s">
        <v>140</v>
      </c>
      <c r="AU277" s="16" t="s">
        <v>91</v>
      </c>
    </row>
    <row r="278" s="13" customFormat="1">
      <c r="A278" s="13"/>
      <c r="B278" s="236"/>
      <c r="C278" s="237"/>
      <c r="D278" s="230" t="s">
        <v>142</v>
      </c>
      <c r="E278" s="238" t="s">
        <v>1</v>
      </c>
      <c r="F278" s="239" t="s">
        <v>362</v>
      </c>
      <c r="G278" s="237"/>
      <c r="H278" s="238" t="s">
        <v>1</v>
      </c>
      <c r="I278" s="240"/>
      <c r="J278" s="237"/>
      <c r="K278" s="237"/>
      <c r="L278" s="241"/>
      <c r="M278" s="242"/>
      <c r="N278" s="243"/>
      <c r="O278" s="243"/>
      <c r="P278" s="243"/>
      <c r="Q278" s="243"/>
      <c r="R278" s="243"/>
      <c r="S278" s="243"/>
      <c r="T278" s="244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T278" s="245" t="s">
        <v>142</v>
      </c>
      <c r="AU278" s="245" t="s">
        <v>91</v>
      </c>
      <c r="AV278" s="13" t="s">
        <v>89</v>
      </c>
      <c r="AW278" s="13" t="s">
        <v>36</v>
      </c>
      <c r="AX278" s="13" t="s">
        <v>81</v>
      </c>
      <c r="AY278" s="245" t="s">
        <v>130</v>
      </c>
    </row>
    <row r="279" s="13" customFormat="1">
      <c r="A279" s="13"/>
      <c r="B279" s="236"/>
      <c r="C279" s="237"/>
      <c r="D279" s="230" t="s">
        <v>142</v>
      </c>
      <c r="E279" s="238" t="s">
        <v>1</v>
      </c>
      <c r="F279" s="239" t="s">
        <v>320</v>
      </c>
      <c r="G279" s="237"/>
      <c r="H279" s="238" t="s">
        <v>1</v>
      </c>
      <c r="I279" s="240"/>
      <c r="J279" s="237"/>
      <c r="K279" s="237"/>
      <c r="L279" s="241"/>
      <c r="M279" s="242"/>
      <c r="N279" s="243"/>
      <c r="O279" s="243"/>
      <c r="P279" s="243"/>
      <c r="Q279" s="243"/>
      <c r="R279" s="243"/>
      <c r="S279" s="243"/>
      <c r="T279" s="244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45" t="s">
        <v>142</v>
      </c>
      <c r="AU279" s="245" t="s">
        <v>91</v>
      </c>
      <c r="AV279" s="13" t="s">
        <v>89</v>
      </c>
      <c r="AW279" s="13" t="s">
        <v>36</v>
      </c>
      <c r="AX279" s="13" t="s">
        <v>81</v>
      </c>
      <c r="AY279" s="245" t="s">
        <v>130</v>
      </c>
    </row>
    <row r="280" s="13" customFormat="1">
      <c r="A280" s="13"/>
      <c r="B280" s="236"/>
      <c r="C280" s="237"/>
      <c r="D280" s="230" t="s">
        <v>142</v>
      </c>
      <c r="E280" s="238" t="s">
        <v>1</v>
      </c>
      <c r="F280" s="239" t="s">
        <v>158</v>
      </c>
      <c r="G280" s="237"/>
      <c r="H280" s="238" t="s">
        <v>1</v>
      </c>
      <c r="I280" s="240"/>
      <c r="J280" s="237"/>
      <c r="K280" s="237"/>
      <c r="L280" s="241"/>
      <c r="M280" s="242"/>
      <c r="N280" s="243"/>
      <c r="O280" s="243"/>
      <c r="P280" s="243"/>
      <c r="Q280" s="243"/>
      <c r="R280" s="243"/>
      <c r="S280" s="243"/>
      <c r="T280" s="244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T280" s="245" t="s">
        <v>142</v>
      </c>
      <c r="AU280" s="245" t="s">
        <v>91</v>
      </c>
      <c r="AV280" s="13" t="s">
        <v>89</v>
      </c>
      <c r="AW280" s="13" t="s">
        <v>36</v>
      </c>
      <c r="AX280" s="13" t="s">
        <v>81</v>
      </c>
      <c r="AY280" s="245" t="s">
        <v>130</v>
      </c>
    </row>
    <row r="281" s="14" customFormat="1">
      <c r="A281" s="14"/>
      <c r="B281" s="246"/>
      <c r="C281" s="247"/>
      <c r="D281" s="230" t="s">
        <v>142</v>
      </c>
      <c r="E281" s="248" t="s">
        <v>1</v>
      </c>
      <c r="F281" s="249" t="s">
        <v>321</v>
      </c>
      <c r="G281" s="247"/>
      <c r="H281" s="250">
        <v>417</v>
      </c>
      <c r="I281" s="251"/>
      <c r="J281" s="247"/>
      <c r="K281" s="247"/>
      <c r="L281" s="252"/>
      <c r="M281" s="253"/>
      <c r="N281" s="254"/>
      <c r="O281" s="254"/>
      <c r="P281" s="254"/>
      <c r="Q281" s="254"/>
      <c r="R281" s="254"/>
      <c r="S281" s="254"/>
      <c r="T281" s="255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T281" s="256" t="s">
        <v>142</v>
      </c>
      <c r="AU281" s="256" t="s">
        <v>91</v>
      </c>
      <c r="AV281" s="14" t="s">
        <v>91</v>
      </c>
      <c r="AW281" s="14" t="s">
        <v>36</v>
      </c>
      <c r="AX281" s="14" t="s">
        <v>89</v>
      </c>
      <c r="AY281" s="256" t="s">
        <v>130</v>
      </c>
    </row>
    <row r="282" s="2" customFormat="1" ht="16.5" customHeight="1">
      <c r="A282" s="37"/>
      <c r="B282" s="38"/>
      <c r="C282" s="217" t="s">
        <v>190</v>
      </c>
      <c r="D282" s="217" t="s">
        <v>132</v>
      </c>
      <c r="E282" s="218" t="s">
        <v>191</v>
      </c>
      <c r="F282" s="219" t="s">
        <v>192</v>
      </c>
      <c r="G282" s="220" t="s">
        <v>152</v>
      </c>
      <c r="H282" s="221">
        <v>3869.9000000000001</v>
      </c>
      <c r="I282" s="222"/>
      <c r="J282" s="223">
        <f>ROUND(I282*H282,2)</f>
        <v>0</v>
      </c>
      <c r="K282" s="219" t="s">
        <v>136</v>
      </c>
      <c r="L282" s="43"/>
      <c r="M282" s="224" t="s">
        <v>1</v>
      </c>
      <c r="N282" s="225" t="s">
        <v>46</v>
      </c>
      <c r="O282" s="90"/>
      <c r="P282" s="226">
        <f>O282*H282</f>
        <v>0</v>
      </c>
      <c r="Q282" s="226">
        <v>0</v>
      </c>
      <c r="R282" s="226">
        <f>Q282*H282</f>
        <v>0</v>
      </c>
      <c r="S282" s="226">
        <v>0</v>
      </c>
      <c r="T282" s="227">
        <f>S282*H282</f>
        <v>0</v>
      </c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R282" s="228" t="s">
        <v>137</v>
      </c>
      <c r="AT282" s="228" t="s">
        <v>132</v>
      </c>
      <c r="AU282" s="228" t="s">
        <v>91</v>
      </c>
      <c r="AY282" s="16" t="s">
        <v>130</v>
      </c>
      <c r="BE282" s="229">
        <f>IF(N282="základní",J282,0)</f>
        <v>0</v>
      </c>
      <c r="BF282" s="229">
        <f>IF(N282="snížená",J282,0)</f>
        <v>0</v>
      </c>
      <c r="BG282" s="229">
        <f>IF(N282="zákl. přenesená",J282,0)</f>
        <v>0</v>
      </c>
      <c r="BH282" s="229">
        <f>IF(N282="sníž. přenesená",J282,0)</f>
        <v>0</v>
      </c>
      <c r="BI282" s="229">
        <f>IF(N282="nulová",J282,0)</f>
        <v>0</v>
      </c>
      <c r="BJ282" s="16" t="s">
        <v>89</v>
      </c>
      <c r="BK282" s="229">
        <f>ROUND(I282*H282,2)</f>
        <v>0</v>
      </c>
      <c r="BL282" s="16" t="s">
        <v>137</v>
      </c>
      <c r="BM282" s="228" t="s">
        <v>193</v>
      </c>
    </row>
    <row r="283" s="2" customFormat="1">
      <c r="A283" s="37"/>
      <c r="B283" s="38"/>
      <c r="C283" s="39"/>
      <c r="D283" s="230" t="s">
        <v>139</v>
      </c>
      <c r="E283" s="39"/>
      <c r="F283" s="231" t="s">
        <v>192</v>
      </c>
      <c r="G283" s="39"/>
      <c r="H283" s="39"/>
      <c r="I283" s="232"/>
      <c r="J283" s="39"/>
      <c r="K283" s="39"/>
      <c r="L283" s="43"/>
      <c r="M283" s="233"/>
      <c r="N283" s="234"/>
      <c r="O283" s="90"/>
      <c r="P283" s="90"/>
      <c r="Q283" s="90"/>
      <c r="R283" s="90"/>
      <c r="S283" s="90"/>
      <c r="T283" s="91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T283" s="16" t="s">
        <v>139</v>
      </c>
      <c r="AU283" s="16" t="s">
        <v>91</v>
      </c>
    </row>
    <row r="284" s="2" customFormat="1">
      <c r="A284" s="37"/>
      <c r="B284" s="38"/>
      <c r="C284" s="39"/>
      <c r="D284" s="230" t="s">
        <v>140</v>
      </c>
      <c r="E284" s="39"/>
      <c r="F284" s="235" t="s">
        <v>194</v>
      </c>
      <c r="G284" s="39"/>
      <c r="H284" s="39"/>
      <c r="I284" s="232"/>
      <c r="J284" s="39"/>
      <c r="K284" s="39"/>
      <c r="L284" s="43"/>
      <c r="M284" s="233"/>
      <c r="N284" s="234"/>
      <c r="O284" s="90"/>
      <c r="P284" s="90"/>
      <c r="Q284" s="90"/>
      <c r="R284" s="90"/>
      <c r="S284" s="90"/>
      <c r="T284" s="91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T284" s="16" t="s">
        <v>140</v>
      </c>
      <c r="AU284" s="16" t="s">
        <v>91</v>
      </c>
    </row>
    <row r="285" s="13" customFormat="1">
      <c r="A285" s="13"/>
      <c r="B285" s="236"/>
      <c r="C285" s="237"/>
      <c r="D285" s="230" t="s">
        <v>142</v>
      </c>
      <c r="E285" s="238" t="s">
        <v>1</v>
      </c>
      <c r="F285" s="239" t="s">
        <v>195</v>
      </c>
      <c r="G285" s="237"/>
      <c r="H285" s="238" t="s">
        <v>1</v>
      </c>
      <c r="I285" s="240"/>
      <c r="J285" s="237"/>
      <c r="K285" s="237"/>
      <c r="L285" s="241"/>
      <c r="M285" s="242"/>
      <c r="N285" s="243"/>
      <c r="O285" s="243"/>
      <c r="P285" s="243"/>
      <c r="Q285" s="243"/>
      <c r="R285" s="243"/>
      <c r="S285" s="243"/>
      <c r="T285" s="244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45" t="s">
        <v>142</v>
      </c>
      <c r="AU285" s="245" t="s">
        <v>91</v>
      </c>
      <c r="AV285" s="13" t="s">
        <v>89</v>
      </c>
      <c r="AW285" s="13" t="s">
        <v>36</v>
      </c>
      <c r="AX285" s="13" t="s">
        <v>81</v>
      </c>
      <c r="AY285" s="245" t="s">
        <v>130</v>
      </c>
    </row>
    <row r="286" s="13" customFormat="1">
      <c r="A286" s="13"/>
      <c r="B286" s="236"/>
      <c r="C286" s="237"/>
      <c r="D286" s="230" t="s">
        <v>142</v>
      </c>
      <c r="E286" s="238" t="s">
        <v>1</v>
      </c>
      <c r="F286" s="239" t="s">
        <v>196</v>
      </c>
      <c r="G286" s="237"/>
      <c r="H286" s="238" t="s">
        <v>1</v>
      </c>
      <c r="I286" s="240"/>
      <c r="J286" s="237"/>
      <c r="K286" s="237"/>
      <c r="L286" s="241"/>
      <c r="M286" s="242"/>
      <c r="N286" s="243"/>
      <c r="O286" s="243"/>
      <c r="P286" s="243"/>
      <c r="Q286" s="243"/>
      <c r="R286" s="243"/>
      <c r="S286" s="243"/>
      <c r="T286" s="244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T286" s="245" t="s">
        <v>142</v>
      </c>
      <c r="AU286" s="245" t="s">
        <v>91</v>
      </c>
      <c r="AV286" s="13" t="s">
        <v>89</v>
      </c>
      <c r="AW286" s="13" t="s">
        <v>36</v>
      </c>
      <c r="AX286" s="13" t="s">
        <v>81</v>
      </c>
      <c r="AY286" s="245" t="s">
        <v>130</v>
      </c>
    </row>
    <row r="287" s="13" customFormat="1">
      <c r="A287" s="13"/>
      <c r="B287" s="236"/>
      <c r="C287" s="237"/>
      <c r="D287" s="230" t="s">
        <v>142</v>
      </c>
      <c r="E287" s="238" t="s">
        <v>1</v>
      </c>
      <c r="F287" s="239" t="s">
        <v>266</v>
      </c>
      <c r="G287" s="237"/>
      <c r="H287" s="238" t="s">
        <v>1</v>
      </c>
      <c r="I287" s="240"/>
      <c r="J287" s="237"/>
      <c r="K287" s="237"/>
      <c r="L287" s="241"/>
      <c r="M287" s="242"/>
      <c r="N287" s="243"/>
      <c r="O287" s="243"/>
      <c r="P287" s="243"/>
      <c r="Q287" s="243"/>
      <c r="R287" s="243"/>
      <c r="S287" s="243"/>
      <c r="T287" s="244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T287" s="245" t="s">
        <v>142</v>
      </c>
      <c r="AU287" s="245" t="s">
        <v>91</v>
      </c>
      <c r="AV287" s="13" t="s">
        <v>89</v>
      </c>
      <c r="AW287" s="13" t="s">
        <v>36</v>
      </c>
      <c r="AX287" s="13" t="s">
        <v>81</v>
      </c>
      <c r="AY287" s="245" t="s">
        <v>130</v>
      </c>
    </row>
    <row r="288" s="13" customFormat="1">
      <c r="A288" s="13"/>
      <c r="B288" s="236"/>
      <c r="C288" s="237"/>
      <c r="D288" s="230" t="s">
        <v>142</v>
      </c>
      <c r="E288" s="238" t="s">
        <v>1</v>
      </c>
      <c r="F288" s="239" t="s">
        <v>267</v>
      </c>
      <c r="G288" s="237"/>
      <c r="H288" s="238" t="s">
        <v>1</v>
      </c>
      <c r="I288" s="240"/>
      <c r="J288" s="237"/>
      <c r="K288" s="237"/>
      <c r="L288" s="241"/>
      <c r="M288" s="242"/>
      <c r="N288" s="243"/>
      <c r="O288" s="243"/>
      <c r="P288" s="243"/>
      <c r="Q288" s="243"/>
      <c r="R288" s="243"/>
      <c r="S288" s="243"/>
      <c r="T288" s="244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45" t="s">
        <v>142</v>
      </c>
      <c r="AU288" s="245" t="s">
        <v>91</v>
      </c>
      <c r="AV288" s="13" t="s">
        <v>89</v>
      </c>
      <c r="AW288" s="13" t="s">
        <v>36</v>
      </c>
      <c r="AX288" s="13" t="s">
        <v>81</v>
      </c>
      <c r="AY288" s="245" t="s">
        <v>130</v>
      </c>
    </row>
    <row r="289" s="13" customFormat="1">
      <c r="A289" s="13"/>
      <c r="B289" s="236"/>
      <c r="C289" s="237"/>
      <c r="D289" s="230" t="s">
        <v>142</v>
      </c>
      <c r="E289" s="238" t="s">
        <v>1</v>
      </c>
      <c r="F289" s="239" t="s">
        <v>363</v>
      </c>
      <c r="G289" s="237"/>
      <c r="H289" s="238" t="s">
        <v>1</v>
      </c>
      <c r="I289" s="240"/>
      <c r="J289" s="237"/>
      <c r="K289" s="237"/>
      <c r="L289" s="241"/>
      <c r="M289" s="242"/>
      <c r="N289" s="243"/>
      <c r="O289" s="243"/>
      <c r="P289" s="243"/>
      <c r="Q289" s="243"/>
      <c r="R289" s="243"/>
      <c r="S289" s="243"/>
      <c r="T289" s="244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T289" s="245" t="s">
        <v>142</v>
      </c>
      <c r="AU289" s="245" t="s">
        <v>91</v>
      </c>
      <c r="AV289" s="13" t="s">
        <v>89</v>
      </c>
      <c r="AW289" s="13" t="s">
        <v>36</v>
      </c>
      <c r="AX289" s="13" t="s">
        <v>81</v>
      </c>
      <c r="AY289" s="245" t="s">
        <v>130</v>
      </c>
    </row>
    <row r="290" s="13" customFormat="1">
      <c r="A290" s="13"/>
      <c r="B290" s="236"/>
      <c r="C290" s="237"/>
      <c r="D290" s="230" t="s">
        <v>142</v>
      </c>
      <c r="E290" s="238" t="s">
        <v>1</v>
      </c>
      <c r="F290" s="239" t="s">
        <v>268</v>
      </c>
      <c r="G290" s="237"/>
      <c r="H290" s="238" t="s">
        <v>1</v>
      </c>
      <c r="I290" s="240"/>
      <c r="J290" s="237"/>
      <c r="K290" s="237"/>
      <c r="L290" s="241"/>
      <c r="M290" s="242"/>
      <c r="N290" s="243"/>
      <c r="O290" s="243"/>
      <c r="P290" s="243"/>
      <c r="Q290" s="243"/>
      <c r="R290" s="243"/>
      <c r="S290" s="243"/>
      <c r="T290" s="244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T290" s="245" t="s">
        <v>142</v>
      </c>
      <c r="AU290" s="245" t="s">
        <v>91</v>
      </c>
      <c r="AV290" s="13" t="s">
        <v>89</v>
      </c>
      <c r="AW290" s="13" t="s">
        <v>36</v>
      </c>
      <c r="AX290" s="13" t="s">
        <v>81</v>
      </c>
      <c r="AY290" s="245" t="s">
        <v>130</v>
      </c>
    </row>
    <row r="291" s="13" customFormat="1">
      <c r="A291" s="13"/>
      <c r="B291" s="236"/>
      <c r="C291" s="237"/>
      <c r="D291" s="230" t="s">
        <v>142</v>
      </c>
      <c r="E291" s="238" t="s">
        <v>1</v>
      </c>
      <c r="F291" s="239" t="s">
        <v>146</v>
      </c>
      <c r="G291" s="237"/>
      <c r="H291" s="238" t="s">
        <v>1</v>
      </c>
      <c r="I291" s="240"/>
      <c r="J291" s="237"/>
      <c r="K291" s="237"/>
      <c r="L291" s="241"/>
      <c r="M291" s="242"/>
      <c r="N291" s="243"/>
      <c r="O291" s="243"/>
      <c r="P291" s="243"/>
      <c r="Q291" s="243"/>
      <c r="R291" s="243"/>
      <c r="S291" s="243"/>
      <c r="T291" s="244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T291" s="245" t="s">
        <v>142</v>
      </c>
      <c r="AU291" s="245" t="s">
        <v>91</v>
      </c>
      <c r="AV291" s="13" t="s">
        <v>89</v>
      </c>
      <c r="AW291" s="13" t="s">
        <v>36</v>
      </c>
      <c r="AX291" s="13" t="s">
        <v>81</v>
      </c>
      <c r="AY291" s="245" t="s">
        <v>130</v>
      </c>
    </row>
    <row r="292" s="14" customFormat="1">
      <c r="A292" s="14"/>
      <c r="B292" s="246"/>
      <c r="C292" s="247"/>
      <c r="D292" s="230" t="s">
        <v>142</v>
      </c>
      <c r="E292" s="248" t="s">
        <v>1</v>
      </c>
      <c r="F292" s="249" t="s">
        <v>364</v>
      </c>
      <c r="G292" s="247"/>
      <c r="H292" s="250">
        <v>3869.9000000000001</v>
      </c>
      <c r="I292" s="251"/>
      <c r="J292" s="247"/>
      <c r="K292" s="247"/>
      <c r="L292" s="252"/>
      <c r="M292" s="253"/>
      <c r="N292" s="254"/>
      <c r="O292" s="254"/>
      <c r="P292" s="254"/>
      <c r="Q292" s="254"/>
      <c r="R292" s="254"/>
      <c r="S292" s="254"/>
      <c r="T292" s="255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T292" s="256" t="s">
        <v>142</v>
      </c>
      <c r="AU292" s="256" t="s">
        <v>91</v>
      </c>
      <c r="AV292" s="14" t="s">
        <v>91</v>
      </c>
      <c r="AW292" s="14" t="s">
        <v>36</v>
      </c>
      <c r="AX292" s="14" t="s">
        <v>89</v>
      </c>
      <c r="AY292" s="256" t="s">
        <v>130</v>
      </c>
    </row>
    <row r="293" s="2" customFormat="1" ht="24.15" customHeight="1">
      <c r="A293" s="37"/>
      <c r="B293" s="38"/>
      <c r="C293" s="217" t="s">
        <v>199</v>
      </c>
      <c r="D293" s="217" t="s">
        <v>132</v>
      </c>
      <c r="E293" s="218" t="s">
        <v>200</v>
      </c>
      <c r="F293" s="219" t="s">
        <v>201</v>
      </c>
      <c r="G293" s="220" t="s">
        <v>152</v>
      </c>
      <c r="H293" s="221">
        <v>3839.6500000000001</v>
      </c>
      <c r="I293" s="222"/>
      <c r="J293" s="223">
        <f>ROUND(I293*H293,2)</f>
        <v>0</v>
      </c>
      <c r="K293" s="219" t="s">
        <v>136</v>
      </c>
      <c r="L293" s="43"/>
      <c r="M293" s="224" t="s">
        <v>1</v>
      </c>
      <c r="N293" s="225" t="s">
        <v>46</v>
      </c>
      <c r="O293" s="90"/>
      <c r="P293" s="226">
        <f>O293*H293</f>
        <v>0</v>
      </c>
      <c r="Q293" s="226">
        <v>0</v>
      </c>
      <c r="R293" s="226">
        <f>Q293*H293</f>
        <v>0</v>
      </c>
      <c r="S293" s="226">
        <v>0</v>
      </c>
      <c r="T293" s="227">
        <f>S293*H293</f>
        <v>0</v>
      </c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R293" s="228" t="s">
        <v>137</v>
      </c>
      <c r="AT293" s="228" t="s">
        <v>132</v>
      </c>
      <c r="AU293" s="228" t="s">
        <v>91</v>
      </c>
      <c r="AY293" s="16" t="s">
        <v>130</v>
      </c>
      <c r="BE293" s="229">
        <f>IF(N293="základní",J293,0)</f>
        <v>0</v>
      </c>
      <c r="BF293" s="229">
        <f>IF(N293="snížená",J293,0)</f>
        <v>0</v>
      </c>
      <c r="BG293" s="229">
        <f>IF(N293="zákl. přenesená",J293,0)</f>
        <v>0</v>
      </c>
      <c r="BH293" s="229">
        <f>IF(N293="sníž. přenesená",J293,0)</f>
        <v>0</v>
      </c>
      <c r="BI293" s="229">
        <f>IF(N293="nulová",J293,0)</f>
        <v>0</v>
      </c>
      <c r="BJ293" s="16" t="s">
        <v>89</v>
      </c>
      <c r="BK293" s="229">
        <f>ROUND(I293*H293,2)</f>
        <v>0</v>
      </c>
      <c r="BL293" s="16" t="s">
        <v>137</v>
      </c>
      <c r="BM293" s="228" t="s">
        <v>202</v>
      </c>
    </row>
    <row r="294" s="2" customFormat="1">
      <c r="A294" s="37"/>
      <c r="B294" s="38"/>
      <c r="C294" s="39"/>
      <c r="D294" s="230" t="s">
        <v>139</v>
      </c>
      <c r="E294" s="39"/>
      <c r="F294" s="231" t="s">
        <v>201</v>
      </c>
      <c r="G294" s="39"/>
      <c r="H294" s="39"/>
      <c r="I294" s="232"/>
      <c r="J294" s="39"/>
      <c r="K294" s="39"/>
      <c r="L294" s="43"/>
      <c r="M294" s="233"/>
      <c r="N294" s="234"/>
      <c r="O294" s="90"/>
      <c r="P294" s="90"/>
      <c r="Q294" s="90"/>
      <c r="R294" s="90"/>
      <c r="S294" s="90"/>
      <c r="T294" s="91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T294" s="16" t="s">
        <v>139</v>
      </c>
      <c r="AU294" s="16" t="s">
        <v>91</v>
      </c>
    </row>
    <row r="295" s="2" customFormat="1">
      <c r="A295" s="37"/>
      <c r="B295" s="38"/>
      <c r="C295" s="39"/>
      <c r="D295" s="230" t="s">
        <v>140</v>
      </c>
      <c r="E295" s="39"/>
      <c r="F295" s="235" t="s">
        <v>203</v>
      </c>
      <c r="G295" s="39"/>
      <c r="H295" s="39"/>
      <c r="I295" s="232"/>
      <c r="J295" s="39"/>
      <c r="K295" s="39"/>
      <c r="L295" s="43"/>
      <c r="M295" s="233"/>
      <c r="N295" s="234"/>
      <c r="O295" s="90"/>
      <c r="P295" s="90"/>
      <c r="Q295" s="90"/>
      <c r="R295" s="90"/>
      <c r="S295" s="90"/>
      <c r="T295" s="91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T295" s="16" t="s">
        <v>140</v>
      </c>
      <c r="AU295" s="16" t="s">
        <v>91</v>
      </c>
    </row>
    <row r="296" s="13" customFormat="1">
      <c r="A296" s="13"/>
      <c r="B296" s="236"/>
      <c r="C296" s="237"/>
      <c r="D296" s="230" t="s">
        <v>142</v>
      </c>
      <c r="E296" s="238" t="s">
        <v>1</v>
      </c>
      <c r="F296" s="239" t="s">
        <v>204</v>
      </c>
      <c r="G296" s="237"/>
      <c r="H296" s="238" t="s">
        <v>1</v>
      </c>
      <c r="I296" s="240"/>
      <c r="J296" s="237"/>
      <c r="K296" s="237"/>
      <c r="L296" s="241"/>
      <c r="M296" s="242"/>
      <c r="N296" s="243"/>
      <c r="O296" s="243"/>
      <c r="P296" s="243"/>
      <c r="Q296" s="243"/>
      <c r="R296" s="243"/>
      <c r="S296" s="243"/>
      <c r="T296" s="244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45" t="s">
        <v>142</v>
      </c>
      <c r="AU296" s="245" t="s">
        <v>91</v>
      </c>
      <c r="AV296" s="13" t="s">
        <v>89</v>
      </c>
      <c r="AW296" s="13" t="s">
        <v>36</v>
      </c>
      <c r="AX296" s="13" t="s">
        <v>81</v>
      </c>
      <c r="AY296" s="245" t="s">
        <v>130</v>
      </c>
    </row>
    <row r="297" s="13" customFormat="1">
      <c r="A297" s="13"/>
      <c r="B297" s="236"/>
      <c r="C297" s="237"/>
      <c r="D297" s="230" t="s">
        <v>142</v>
      </c>
      <c r="E297" s="238" t="s">
        <v>1</v>
      </c>
      <c r="F297" s="239" t="s">
        <v>205</v>
      </c>
      <c r="G297" s="237"/>
      <c r="H297" s="238" t="s">
        <v>1</v>
      </c>
      <c r="I297" s="240"/>
      <c r="J297" s="237"/>
      <c r="K297" s="237"/>
      <c r="L297" s="241"/>
      <c r="M297" s="242"/>
      <c r="N297" s="243"/>
      <c r="O297" s="243"/>
      <c r="P297" s="243"/>
      <c r="Q297" s="243"/>
      <c r="R297" s="243"/>
      <c r="S297" s="243"/>
      <c r="T297" s="244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T297" s="245" t="s">
        <v>142</v>
      </c>
      <c r="AU297" s="245" t="s">
        <v>91</v>
      </c>
      <c r="AV297" s="13" t="s">
        <v>89</v>
      </c>
      <c r="AW297" s="13" t="s">
        <v>36</v>
      </c>
      <c r="AX297" s="13" t="s">
        <v>81</v>
      </c>
      <c r="AY297" s="245" t="s">
        <v>130</v>
      </c>
    </row>
    <row r="298" s="13" customFormat="1">
      <c r="A298" s="13"/>
      <c r="B298" s="236"/>
      <c r="C298" s="237"/>
      <c r="D298" s="230" t="s">
        <v>142</v>
      </c>
      <c r="E298" s="238" t="s">
        <v>1</v>
      </c>
      <c r="F298" s="239" t="s">
        <v>266</v>
      </c>
      <c r="G298" s="237"/>
      <c r="H298" s="238" t="s">
        <v>1</v>
      </c>
      <c r="I298" s="240"/>
      <c r="J298" s="237"/>
      <c r="K298" s="237"/>
      <c r="L298" s="241"/>
      <c r="M298" s="242"/>
      <c r="N298" s="243"/>
      <c r="O298" s="243"/>
      <c r="P298" s="243"/>
      <c r="Q298" s="243"/>
      <c r="R298" s="243"/>
      <c r="S298" s="243"/>
      <c r="T298" s="244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T298" s="245" t="s">
        <v>142</v>
      </c>
      <c r="AU298" s="245" t="s">
        <v>91</v>
      </c>
      <c r="AV298" s="13" t="s">
        <v>89</v>
      </c>
      <c r="AW298" s="13" t="s">
        <v>36</v>
      </c>
      <c r="AX298" s="13" t="s">
        <v>81</v>
      </c>
      <c r="AY298" s="245" t="s">
        <v>130</v>
      </c>
    </row>
    <row r="299" s="13" customFormat="1">
      <c r="A299" s="13"/>
      <c r="B299" s="236"/>
      <c r="C299" s="237"/>
      <c r="D299" s="230" t="s">
        <v>142</v>
      </c>
      <c r="E299" s="238" t="s">
        <v>1</v>
      </c>
      <c r="F299" s="239" t="s">
        <v>267</v>
      </c>
      <c r="G299" s="237"/>
      <c r="H299" s="238" t="s">
        <v>1</v>
      </c>
      <c r="I299" s="240"/>
      <c r="J299" s="237"/>
      <c r="K299" s="237"/>
      <c r="L299" s="241"/>
      <c r="M299" s="242"/>
      <c r="N299" s="243"/>
      <c r="O299" s="243"/>
      <c r="P299" s="243"/>
      <c r="Q299" s="243"/>
      <c r="R299" s="243"/>
      <c r="S299" s="243"/>
      <c r="T299" s="244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T299" s="245" t="s">
        <v>142</v>
      </c>
      <c r="AU299" s="245" t="s">
        <v>91</v>
      </c>
      <c r="AV299" s="13" t="s">
        <v>89</v>
      </c>
      <c r="AW299" s="13" t="s">
        <v>36</v>
      </c>
      <c r="AX299" s="13" t="s">
        <v>81</v>
      </c>
      <c r="AY299" s="245" t="s">
        <v>130</v>
      </c>
    </row>
    <row r="300" s="13" customFormat="1">
      <c r="A300" s="13"/>
      <c r="B300" s="236"/>
      <c r="C300" s="237"/>
      <c r="D300" s="230" t="s">
        <v>142</v>
      </c>
      <c r="E300" s="238" t="s">
        <v>1</v>
      </c>
      <c r="F300" s="239" t="s">
        <v>263</v>
      </c>
      <c r="G300" s="237"/>
      <c r="H300" s="238" t="s">
        <v>1</v>
      </c>
      <c r="I300" s="240"/>
      <c r="J300" s="237"/>
      <c r="K300" s="237"/>
      <c r="L300" s="241"/>
      <c r="M300" s="242"/>
      <c r="N300" s="243"/>
      <c r="O300" s="243"/>
      <c r="P300" s="243"/>
      <c r="Q300" s="243"/>
      <c r="R300" s="243"/>
      <c r="S300" s="243"/>
      <c r="T300" s="244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T300" s="245" t="s">
        <v>142</v>
      </c>
      <c r="AU300" s="245" t="s">
        <v>91</v>
      </c>
      <c r="AV300" s="13" t="s">
        <v>89</v>
      </c>
      <c r="AW300" s="13" t="s">
        <v>36</v>
      </c>
      <c r="AX300" s="13" t="s">
        <v>81</v>
      </c>
      <c r="AY300" s="245" t="s">
        <v>130</v>
      </c>
    </row>
    <row r="301" s="13" customFormat="1">
      <c r="A301" s="13"/>
      <c r="B301" s="236"/>
      <c r="C301" s="237"/>
      <c r="D301" s="230" t="s">
        <v>142</v>
      </c>
      <c r="E301" s="238" t="s">
        <v>1</v>
      </c>
      <c r="F301" s="239" t="s">
        <v>267</v>
      </c>
      <c r="G301" s="237"/>
      <c r="H301" s="238" t="s">
        <v>1</v>
      </c>
      <c r="I301" s="240"/>
      <c r="J301" s="237"/>
      <c r="K301" s="237"/>
      <c r="L301" s="241"/>
      <c r="M301" s="242"/>
      <c r="N301" s="243"/>
      <c r="O301" s="243"/>
      <c r="P301" s="243"/>
      <c r="Q301" s="243"/>
      <c r="R301" s="243"/>
      <c r="S301" s="243"/>
      <c r="T301" s="244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T301" s="245" t="s">
        <v>142</v>
      </c>
      <c r="AU301" s="245" t="s">
        <v>91</v>
      </c>
      <c r="AV301" s="13" t="s">
        <v>89</v>
      </c>
      <c r="AW301" s="13" t="s">
        <v>36</v>
      </c>
      <c r="AX301" s="13" t="s">
        <v>81</v>
      </c>
      <c r="AY301" s="245" t="s">
        <v>130</v>
      </c>
    </row>
    <row r="302" s="13" customFormat="1">
      <c r="A302" s="13"/>
      <c r="B302" s="236"/>
      <c r="C302" s="237"/>
      <c r="D302" s="230" t="s">
        <v>142</v>
      </c>
      <c r="E302" s="238" t="s">
        <v>1</v>
      </c>
      <c r="F302" s="239" t="s">
        <v>206</v>
      </c>
      <c r="G302" s="237"/>
      <c r="H302" s="238" t="s">
        <v>1</v>
      </c>
      <c r="I302" s="240"/>
      <c r="J302" s="237"/>
      <c r="K302" s="237"/>
      <c r="L302" s="241"/>
      <c r="M302" s="242"/>
      <c r="N302" s="243"/>
      <c r="O302" s="243"/>
      <c r="P302" s="243"/>
      <c r="Q302" s="243"/>
      <c r="R302" s="243"/>
      <c r="S302" s="243"/>
      <c r="T302" s="244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T302" s="245" t="s">
        <v>142</v>
      </c>
      <c r="AU302" s="245" t="s">
        <v>91</v>
      </c>
      <c r="AV302" s="13" t="s">
        <v>89</v>
      </c>
      <c r="AW302" s="13" t="s">
        <v>36</v>
      </c>
      <c r="AX302" s="13" t="s">
        <v>81</v>
      </c>
      <c r="AY302" s="245" t="s">
        <v>130</v>
      </c>
    </row>
    <row r="303" s="13" customFormat="1">
      <c r="A303" s="13"/>
      <c r="B303" s="236"/>
      <c r="C303" s="237"/>
      <c r="D303" s="230" t="s">
        <v>142</v>
      </c>
      <c r="E303" s="238" t="s">
        <v>1</v>
      </c>
      <c r="F303" s="239" t="s">
        <v>268</v>
      </c>
      <c r="G303" s="237"/>
      <c r="H303" s="238" t="s">
        <v>1</v>
      </c>
      <c r="I303" s="240"/>
      <c r="J303" s="237"/>
      <c r="K303" s="237"/>
      <c r="L303" s="241"/>
      <c r="M303" s="242"/>
      <c r="N303" s="243"/>
      <c r="O303" s="243"/>
      <c r="P303" s="243"/>
      <c r="Q303" s="243"/>
      <c r="R303" s="243"/>
      <c r="S303" s="243"/>
      <c r="T303" s="244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T303" s="245" t="s">
        <v>142</v>
      </c>
      <c r="AU303" s="245" t="s">
        <v>91</v>
      </c>
      <c r="AV303" s="13" t="s">
        <v>89</v>
      </c>
      <c r="AW303" s="13" t="s">
        <v>36</v>
      </c>
      <c r="AX303" s="13" t="s">
        <v>81</v>
      </c>
      <c r="AY303" s="245" t="s">
        <v>130</v>
      </c>
    </row>
    <row r="304" s="13" customFormat="1">
      <c r="A304" s="13"/>
      <c r="B304" s="236"/>
      <c r="C304" s="237"/>
      <c r="D304" s="230" t="s">
        <v>142</v>
      </c>
      <c r="E304" s="238" t="s">
        <v>1</v>
      </c>
      <c r="F304" s="239" t="s">
        <v>146</v>
      </c>
      <c r="G304" s="237"/>
      <c r="H304" s="238" t="s">
        <v>1</v>
      </c>
      <c r="I304" s="240"/>
      <c r="J304" s="237"/>
      <c r="K304" s="237"/>
      <c r="L304" s="241"/>
      <c r="M304" s="242"/>
      <c r="N304" s="243"/>
      <c r="O304" s="243"/>
      <c r="P304" s="243"/>
      <c r="Q304" s="243"/>
      <c r="R304" s="243"/>
      <c r="S304" s="243"/>
      <c r="T304" s="244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T304" s="245" t="s">
        <v>142</v>
      </c>
      <c r="AU304" s="245" t="s">
        <v>91</v>
      </c>
      <c r="AV304" s="13" t="s">
        <v>89</v>
      </c>
      <c r="AW304" s="13" t="s">
        <v>36</v>
      </c>
      <c r="AX304" s="13" t="s">
        <v>81</v>
      </c>
      <c r="AY304" s="245" t="s">
        <v>130</v>
      </c>
    </row>
    <row r="305" s="14" customFormat="1">
      <c r="A305" s="14"/>
      <c r="B305" s="246"/>
      <c r="C305" s="247"/>
      <c r="D305" s="230" t="s">
        <v>142</v>
      </c>
      <c r="E305" s="248" t="s">
        <v>1</v>
      </c>
      <c r="F305" s="249" t="s">
        <v>365</v>
      </c>
      <c r="G305" s="247"/>
      <c r="H305" s="250">
        <v>3839.6500000000001</v>
      </c>
      <c r="I305" s="251"/>
      <c r="J305" s="247"/>
      <c r="K305" s="247"/>
      <c r="L305" s="252"/>
      <c r="M305" s="253"/>
      <c r="N305" s="254"/>
      <c r="O305" s="254"/>
      <c r="P305" s="254"/>
      <c r="Q305" s="254"/>
      <c r="R305" s="254"/>
      <c r="S305" s="254"/>
      <c r="T305" s="255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T305" s="256" t="s">
        <v>142</v>
      </c>
      <c r="AU305" s="256" t="s">
        <v>91</v>
      </c>
      <c r="AV305" s="14" t="s">
        <v>91</v>
      </c>
      <c r="AW305" s="14" t="s">
        <v>36</v>
      </c>
      <c r="AX305" s="14" t="s">
        <v>89</v>
      </c>
      <c r="AY305" s="256" t="s">
        <v>130</v>
      </c>
    </row>
    <row r="306" s="2" customFormat="1" ht="24.15" customHeight="1">
      <c r="A306" s="37"/>
      <c r="B306" s="38"/>
      <c r="C306" s="217" t="s">
        <v>208</v>
      </c>
      <c r="D306" s="217" t="s">
        <v>132</v>
      </c>
      <c r="E306" s="218" t="s">
        <v>209</v>
      </c>
      <c r="F306" s="219" t="s">
        <v>210</v>
      </c>
      <c r="G306" s="220" t="s">
        <v>152</v>
      </c>
      <c r="H306" s="221">
        <v>3717.6750000000002</v>
      </c>
      <c r="I306" s="222"/>
      <c r="J306" s="223">
        <f>ROUND(I306*H306,2)</f>
        <v>0</v>
      </c>
      <c r="K306" s="219" t="s">
        <v>136</v>
      </c>
      <c r="L306" s="43"/>
      <c r="M306" s="224" t="s">
        <v>1</v>
      </c>
      <c r="N306" s="225" t="s">
        <v>46</v>
      </c>
      <c r="O306" s="90"/>
      <c r="P306" s="226">
        <f>O306*H306</f>
        <v>0</v>
      </c>
      <c r="Q306" s="226">
        <v>0</v>
      </c>
      <c r="R306" s="226">
        <f>Q306*H306</f>
        <v>0</v>
      </c>
      <c r="S306" s="226">
        <v>0</v>
      </c>
      <c r="T306" s="227">
        <f>S306*H306</f>
        <v>0</v>
      </c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R306" s="228" t="s">
        <v>137</v>
      </c>
      <c r="AT306" s="228" t="s">
        <v>132</v>
      </c>
      <c r="AU306" s="228" t="s">
        <v>91</v>
      </c>
      <c r="AY306" s="16" t="s">
        <v>130</v>
      </c>
      <c r="BE306" s="229">
        <f>IF(N306="základní",J306,0)</f>
        <v>0</v>
      </c>
      <c r="BF306" s="229">
        <f>IF(N306="snížená",J306,0)</f>
        <v>0</v>
      </c>
      <c r="BG306" s="229">
        <f>IF(N306="zákl. přenesená",J306,0)</f>
        <v>0</v>
      </c>
      <c r="BH306" s="229">
        <f>IF(N306="sníž. přenesená",J306,0)</f>
        <v>0</v>
      </c>
      <c r="BI306" s="229">
        <f>IF(N306="nulová",J306,0)</f>
        <v>0</v>
      </c>
      <c r="BJ306" s="16" t="s">
        <v>89</v>
      </c>
      <c r="BK306" s="229">
        <f>ROUND(I306*H306,2)</f>
        <v>0</v>
      </c>
      <c r="BL306" s="16" t="s">
        <v>137</v>
      </c>
      <c r="BM306" s="228" t="s">
        <v>211</v>
      </c>
    </row>
    <row r="307" s="2" customFormat="1">
      <c r="A307" s="37"/>
      <c r="B307" s="38"/>
      <c r="C307" s="39"/>
      <c r="D307" s="230" t="s">
        <v>139</v>
      </c>
      <c r="E307" s="39"/>
      <c r="F307" s="231" t="s">
        <v>210</v>
      </c>
      <c r="G307" s="39"/>
      <c r="H307" s="39"/>
      <c r="I307" s="232"/>
      <c r="J307" s="39"/>
      <c r="K307" s="39"/>
      <c r="L307" s="43"/>
      <c r="M307" s="233"/>
      <c r="N307" s="234"/>
      <c r="O307" s="90"/>
      <c r="P307" s="90"/>
      <c r="Q307" s="90"/>
      <c r="R307" s="90"/>
      <c r="S307" s="90"/>
      <c r="T307" s="91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T307" s="16" t="s">
        <v>139</v>
      </c>
      <c r="AU307" s="16" t="s">
        <v>91</v>
      </c>
    </row>
    <row r="308" s="2" customFormat="1">
      <c r="A308" s="37"/>
      <c r="B308" s="38"/>
      <c r="C308" s="39"/>
      <c r="D308" s="230" t="s">
        <v>140</v>
      </c>
      <c r="E308" s="39"/>
      <c r="F308" s="235" t="s">
        <v>203</v>
      </c>
      <c r="G308" s="39"/>
      <c r="H308" s="39"/>
      <c r="I308" s="232"/>
      <c r="J308" s="39"/>
      <c r="K308" s="39"/>
      <c r="L308" s="43"/>
      <c r="M308" s="233"/>
      <c r="N308" s="234"/>
      <c r="O308" s="90"/>
      <c r="P308" s="90"/>
      <c r="Q308" s="90"/>
      <c r="R308" s="90"/>
      <c r="S308" s="90"/>
      <c r="T308" s="91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T308" s="16" t="s">
        <v>140</v>
      </c>
      <c r="AU308" s="16" t="s">
        <v>91</v>
      </c>
    </row>
    <row r="309" s="13" customFormat="1">
      <c r="A309" s="13"/>
      <c r="B309" s="236"/>
      <c r="C309" s="237"/>
      <c r="D309" s="230" t="s">
        <v>142</v>
      </c>
      <c r="E309" s="238" t="s">
        <v>1</v>
      </c>
      <c r="F309" s="239" t="s">
        <v>212</v>
      </c>
      <c r="G309" s="237"/>
      <c r="H309" s="238" t="s">
        <v>1</v>
      </c>
      <c r="I309" s="240"/>
      <c r="J309" s="237"/>
      <c r="K309" s="237"/>
      <c r="L309" s="241"/>
      <c r="M309" s="242"/>
      <c r="N309" s="243"/>
      <c r="O309" s="243"/>
      <c r="P309" s="243"/>
      <c r="Q309" s="243"/>
      <c r="R309" s="243"/>
      <c r="S309" s="243"/>
      <c r="T309" s="244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T309" s="245" t="s">
        <v>142</v>
      </c>
      <c r="AU309" s="245" t="s">
        <v>91</v>
      </c>
      <c r="AV309" s="13" t="s">
        <v>89</v>
      </c>
      <c r="AW309" s="13" t="s">
        <v>36</v>
      </c>
      <c r="AX309" s="13" t="s">
        <v>81</v>
      </c>
      <c r="AY309" s="245" t="s">
        <v>130</v>
      </c>
    </row>
    <row r="310" s="13" customFormat="1">
      <c r="A310" s="13"/>
      <c r="B310" s="236"/>
      <c r="C310" s="237"/>
      <c r="D310" s="230" t="s">
        <v>142</v>
      </c>
      <c r="E310" s="238" t="s">
        <v>1</v>
      </c>
      <c r="F310" s="239" t="s">
        <v>213</v>
      </c>
      <c r="G310" s="237"/>
      <c r="H310" s="238" t="s">
        <v>1</v>
      </c>
      <c r="I310" s="240"/>
      <c r="J310" s="237"/>
      <c r="K310" s="237"/>
      <c r="L310" s="241"/>
      <c r="M310" s="242"/>
      <c r="N310" s="243"/>
      <c r="O310" s="243"/>
      <c r="P310" s="243"/>
      <c r="Q310" s="243"/>
      <c r="R310" s="243"/>
      <c r="S310" s="243"/>
      <c r="T310" s="244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45" t="s">
        <v>142</v>
      </c>
      <c r="AU310" s="245" t="s">
        <v>91</v>
      </c>
      <c r="AV310" s="13" t="s">
        <v>89</v>
      </c>
      <c r="AW310" s="13" t="s">
        <v>36</v>
      </c>
      <c r="AX310" s="13" t="s">
        <v>81</v>
      </c>
      <c r="AY310" s="245" t="s">
        <v>130</v>
      </c>
    </row>
    <row r="311" s="13" customFormat="1">
      <c r="A311" s="13"/>
      <c r="B311" s="236"/>
      <c r="C311" s="237"/>
      <c r="D311" s="230" t="s">
        <v>142</v>
      </c>
      <c r="E311" s="238" t="s">
        <v>1</v>
      </c>
      <c r="F311" s="239" t="s">
        <v>366</v>
      </c>
      <c r="G311" s="237"/>
      <c r="H311" s="238" t="s">
        <v>1</v>
      </c>
      <c r="I311" s="240"/>
      <c r="J311" s="237"/>
      <c r="K311" s="237"/>
      <c r="L311" s="241"/>
      <c r="M311" s="242"/>
      <c r="N311" s="243"/>
      <c r="O311" s="243"/>
      <c r="P311" s="243"/>
      <c r="Q311" s="243"/>
      <c r="R311" s="243"/>
      <c r="S311" s="243"/>
      <c r="T311" s="244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T311" s="245" t="s">
        <v>142</v>
      </c>
      <c r="AU311" s="245" t="s">
        <v>91</v>
      </c>
      <c r="AV311" s="13" t="s">
        <v>89</v>
      </c>
      <c r="AW311" s="13" t="s">
        <v>36</v>
      </c>
      <c r="AX311" s="13" t="s">
        <v>81</v>
      </c>
      <c r="AY311" s="245" t="s">
        <v>130</v>
      </c>
    </row>
    <row r="312" s="13" customFormat="1">
      <c r="A312" s="13"/>
      <c r="B312" s="236"/>
      <c r="C312" s="237"/>
      <c r="D312" s="230" t="s">
        <v>142</v>
      </c>
      <c r="E312" s="238" t="s">
        <v>1</v>
      </c>
      <c r="F312" s="239" t="s">
        <v>263</v>
      </c>
      <c r="G312" s="237"/>
      <c r="H312" s="238" t="s">
        <v>1</v>
      </c>
      <c r="I312" s="240"/>
      <c r="J312" s="237"/>
      <c r="K312" s="237"/>
      <c r="L312" s="241"/>
      <c r="M312" s="242"/>
      <c r="N312" s="243"/>
      <c r="O312" s="243"/>
      <c r="P312" s="243"/>
      <c r="Q312" s="243"/>
      <c r="R312" s="243"/>
      <c r="S312" s="243"/>
      <c r="T312" s="244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T312" s="245" t="s">
        <v>142</v>
      </c>
      <c r="AU312" s="245" t="s">
        <v>91</v>
      </c>
      <c r="AV312" s="13" t="s">
        <v>89</v>
      </c>
      <c r="AW312" s="13" t="s">
        <v>36</v>
      </c>
      <c r="AX312" s="13" t="s">
        <v>81</v>
      </c>
      <c r="AY312" s="245" t="s">
        <v>130</v>
      </c>
    </row>
    <row r="313" s="13" customFormat="1">
      <c r="A313" s="13"/>
      <c r="B313" s="236"/>
      <c r="C313" s="237"/>
      <c r="D313" s="230" t="s">
        <v>142</v>
      </c>
      <c r="E313" s="238" t="s">
        <v>1</v>
      </c>
      <c r="F313" s="239" t="s">
        <v>366</v>
      </c>
      <c r="G313" s="237"/>
      <c r="H313" s="238" t="s">
        <v>1</v>
      </c>
      <c r="I313" s="240"/>
      <c r="J313" s="237"/>
      <c r="K313" s="237"/>
      <c r="L313" s="241"/>
      <c r="M313" s="242"/>
      <c r="N313" s="243"/>
      <c r="O313" s="243"/>
      <c r="P313" s="243"/>
      <c r="Q313" s="243"/>
      <c r="R313" s="243"/>
      <c r="S313" s="243"/>
      <c r="T313" s="244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T313" s="245" t="s">
        <v>142</v>
      </c>
      <c r="AU313" s="245" t="s">
        <v>91</v>
      </c>
      <c r="AV313" s="13" t="s">
        <v>89</v>
      </c>
      <c r="AW313" s="13" t="s">
        <v>36</v>
      </c>
      <c r="AX313" s="13" t="s">
        <v>81</v>
      </c>
      <c r="AY313" s="245" t="s">
        <v>130</v>
      </c>
    </row>
    <row r="314" s="13" customFormat="1">
      <c r="A314" s="13"/>
      <c r="B314" s="236"/>
      <c r="C314" s="237"/>
      <c r="D314" s="230" t="s">
        <v>142</v>
      </c>
      <c r="E314" s="238" t="s">
        <v>1</v>
      </c>
      <c r="F314" s="239" t="s">
        <v>215</v>
      </c>
      <c r="G314" s="237"/>
      <c r="H314" s="238" t="s">
        <v>1</v>
      </c>
      <c r="I314" s="240"/>
      <c r="J314" s="237"/>
      <c r="K314" s="237"/>
      <c r="L314" s="241"/>
      <c r="M314" s="242"/>
      <c r="N314" s="243"/>
      <c r="O314" s="243"/>
      <c r="P314" s="243"/>
      <c r="Q314" s="243"/>
      <c r="R314" s="243"/>
      <c r="S314" s="243"/>
      <c r="T314" s="244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T314" s="245" t="s">
        <v>142</v>
      </c>
      <c r="AU314" s="245" t="s">
        <v>91</v>
      </c>
      <c r="AV314" s="13" t="s">
        <v>89</v>
      </c>
      <c r="AW314" s="13" t="s">
        <v>36</v>
      </c>
      <c r="AX314" s="13" t="s">
        <v>81</v>
      </c>
      <c r="AY314" s="245" t="s">
        <v>130</v>
      </c>
    </row>
    <row r="315" s="14" customFormat="1">
      <c r="A315" s="14"/>
      <c r="B315" s="246"/>
      <c r="C315" s="247"/>
      <c r="D315" s="230" t="s">
        <v>142</v>
      </c>
      <c r="E315" s="248" t="s">
        <v>1</v>
      </c>
      <c r="F315" s="249" t="s">
        <v>367</v>
      </c>
      <c r="G315" s="247"/>
      <c r="H315" s="250">
        <v>3717.6750000000002</v>
      </c>
      <c r="I315" s="251"/>
      <c r="J315" s="247"/>
      <c r="K315" s="247"/>
      <c r="L315" s="252"/>
      <c r="M315" s="253"/>
      <c r="N315" s="254"/>
      <c r="O315" s="254"/>
      <c r="P315" s="254"/>
      <c r="Q315" s="254"/>
      <c r="R315" s="254"/>
      <c r="S315" s="254"/>
      <c r="T315" s="255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T315" s="256" t="s">
        <v>142</v>
      </c>
      <c r="AU315" s="256" t="s">
        <v>91</v>
      </c>
      <c r="AV315" s="14" t="s">
        <v>91</v>
      </c>
      <c r="AW315" s="14" t="s">
        <v>36</v>
      </c>
      <c r="AX315" s="14" t="s">
        <v>89</v>
      </c>
      <c r="AY315" s="256" t="s">
        <v>130</v>
      </c>
    </row>
    <row r="316" s="12" customFormat="1" ht="22.8" customHeight="1">
      <c r="A316" s="12"/>
      <c r="B316" s="201"/>
      <c r="C316" s="202"/>
      <c r="D316" s="203" t="s">
        <v>80</v>
      </c>
      <c r="E316" s="215" t="s">
        <v>217</v>
      </c>
      <c r="F316" s="215" t="s">
        <v>218</v>
      </c>
      <c r="G316" s="202"/>
      <c r="H316" s="202"/>
      <c r="I316" s="205"/>
      <c r="J316" s="216">
        <f>BK316</f>
        <v>0</v>
      </c>
      <c r="K316" s="202"/>
      <c r="L316" s="207"/>
      <c r="M316" s="208"/>
      <c r="N316" s="209"/>
      <c r="O316" s="209"/>
      <c r="P316" s="210">
        <f>SUM(P317:P327)</f>
        <v>0</v>
      </c>
      <c r="Q316" s="209"/>
      <c r="R316" s="210">
        <f>SUM(R317:R327)</f>
        <v>0</v>
      </c>
      <c r="S316" s="209"/>
      <c r="T316" s="211">
        <f>SUM(T317:T327)</f>
        <v>0</v>
      </c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R316" s="212" t="s">
        <v>89</v>
      </c>
      <c r="AT316" s="213" t="s">
        <v>80</v>
      </c>
      <c r="AU316" s="213" t="s">
        <v>89</v>
      </c>
      <c r="AY316" s="212" t="s">
        <v>130</v>
      </c>
      <c r="BK316" s="214">
        <f>SUM(BK317:BK327)</f>
        <v>0</v>
      </c>
    </row>
    <row r="317" s="2" customFormat="1" ht="24.15" customHeight="1">
      <c r="A317" s="37"/>
      <c r="B317" s="38"/>
      <c r="C317" s="217" t="s">
        <v>368</v>
      </c>
      <c r="D317" s="217" t="s">
        <v>132</v>
      </c>
      <c r="E317" s="218" t="s">
        <v>369</v>
      </c>
      <c r="F317" s="219" t="s">
        <v>370</v>
      </c>
      <c r="G317" s="220" t="s">
        <v>224</v>
      </c>
      <c r="H317" s="221">
        <v>2</v>
      </c>
      <c r="I317" s="222"/>
      <c r="J317" s="223">
        <f>ROUND(I317*H317,2)</f>
        <v>0</v>
      </c>
      <c r="K317" s="219" t="s">
        <v>136</v>
      </c>
      <c r="L317" s="43"/>
      <c r="M317" s="224" t="s">
        <v>1</v>
      </c>
      <c r="N317" s="225" t="s">
        <v>46</v>
      </c>
      <c r="O317" s="90"/>
      <c r="P317" s="226">
        <f>O317*H317</f>
        <v>0</v>
      </c>
      <c r="Q317" s="226">
        <v>0</v>
      </c>
      <c r="R317" s="226">
        <f>Q317*H317</f>
        <v>0</v>
      </c>
      <c r="S317" s="226">
        <v>0</v>
      </c>
      <c r="T317" s="227">
        <f>S317*H317</f>
        <v>0</v>
      </c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R317" s="228" t="s">
        <v>137</v>
      </c>
      <c r="AT317" s="228" t="s">
        <v>132</v>
      </c>
      <c r="AU317" s="228" t="s">
        <v>91</v>
      </c>
      <c r="AY317" s="16" t="s">
        <v>130</v>
      </c>
      <c r="BE317" s="229">
        <f>IF(N317="základní",J317,0)</f>
        <v>0</v>
      </c>
      <c r="BF317" s="229">
        <f>IF(N317="snížená",J317,0)</f>
        <v>0</v>
      </c>
      <c r="BG317" s="229">
        <f>IF(N317="zákl. přenesená",J317,0)</f>
        <v>0</v>
      </c>
      <c r="BH317" s="229">
        <f>IF(N317="sníž. přenesená",J317,0)</f>
        <v>0</v>
      </c>
      <c r="BI317" s="229">
        <f>IF(N317="nulová",J317,0)</f>
        <v>0</v>
      </c>
      <c r="BJ317" s="16" t="s">
        <v>89</v>
      </c>
      <c r="BK317" s="229">
        <f>ROUND(I317*H317,2)</f>
        <v>0</v>
      </c>
      <c r="BL317" s="16" t="s">
        <v>137</v>
      </c>
      <c r="BM317" s="228" t="s">
        <v>371</v>
      </c>
    </row>
    <row r="318" s="2" customFormat="1">
      <c r="A318" s="37"/>
      <c r="B318" s="38"/>
      <c r="C318" s="39"/>
      <c r="D318" s="230" t="s">
        <v>139</v>
      </c>
      <c r="E318" s="39"/>
      <c r="F318" s="231" t="s">
        <v>370</v>
      </c>
      <c r="G318" s="39"/>
      <c r="H318" s="39"/>
      <c r="I318" s="232"/>
      <c r="J318" s="39"/>
      <c r="K318" s="39"/>
      <c r="L318" s="43"/>
      <c r="M318" s="233"/>
      <c r="N318" s="234"/>
      <c r="O318" s="90"/>
      <c r="P318" s="90"/>
      <c r="Q318" s="90"/>
      <c r="R318" s="90"/>
      <c r="S318" s="90"/>
      <c r="T318" s="91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T318" s="16" t="s">
        <v>139</v>
      </c>
      <c r="AU318" s="16" t="s">
        <v>91</v>
      </c>
    </row>
    <row r="319" s="2" customFormat="1">
      <c r="A319" s="37"/>
      <c r="B319" s="38"/>
      <c r="C319" s="39"/>
      <c r="D319" s="230" t="s">
        <v>140</v>
      </c>
      <c r="E319" s="39"/>
      <c r="F319" s="235" t="s">
        <v>372</v>
      </c>
      <c r="G319" s="39"/>
      <c r="H319" s="39"/>
      <c r="I319" s="232"/>
      <c r="J319" s="39"/>
      <c r="K319" s="39"/>
      <c r="L319" s="43"/>
      <c r="M319" s="233"/>
      <c r="N319" s="234"/>
      <c r="O319" s="90"/>
      <c r="P319" s="90"/>
      <c r="Q319" s="90"/>
      <c r="R319" s="90"/>
      <c r="S319" s="90"/>
      <c r="T319" s="91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T319" s="16" t="s">
        <v>140</v>
      </c>
      <c r="AU319" s="16" t="s">
        <v>91</v>
      </c>
    </row>
    <row r="320" s="13" customFormat="1">
      <c r="A320" s="13"/>
      <c r="B320" s="236"/>
      <c r="C320" s="237"/>
      <c r="D320" s="230" t="s">
        <v>142</v>
      </c>
      <c r="E320" s="238" t="s">
        <v>1</v>
      </c>
      <c r="F320" s="239" t="s">
        <v>373</v>
      </c>
      <c r="G320" s="237"/>
      <c r="H320" s="238" t="s">
        <v>1</v>
      </c>
      <c r="I320" s="240"/>
      <c r="J320" s="237"/>
      <c r="K320" s="237"/>
      <c r="L320" s="241"/>
      <c r="M320" s="242"/>
      <c r="N320" s="243"/>
      <c r="O320" s="243"/>
      <c r="P320" s="243"/>
      <c r="Q320" s="243"/>
      <c r="R320" s="243"/>
      <c r="S320" s="243"/>
      <c r="T320" s="244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T320" s="245" t="s">
        <v>142</v>
      </c>
      <c r="AU320" s="245" t="s">
        <v>91</v>
      </c>
      <c r="AV320" s="13" t="s">
        <v>89</v>
      </c>
      <c r="AW320" s="13" t="s">
        <v>36</v>
      </c>
      <c r="AX320" s="13" t="s">
        <v>81</v>
      </c>
      <c r="AY320" s="245" t="s">
        <v>130</v>
      </c>
    </row>
    <row r="321" s="13" customFormat="1">
      <c r="A321" s="13"/>
      <c r="B321" s="236"/>
      <c r="C321" s="237"/>
      <c r="D321" s="230" t="s">
        <v>142</v>
      </c>
      <c r="E321" s="238" t="s">
        <v>1</v>
      </c>
      <c r="F321" s="239" t="s">
        <v>157</v>
      </c>
      <c r="G321" s="237"/>
      <c r="H321" s="238" t="s">
        <v>1</v>
      </c>
      <c r="I321" s="240"/>
      <c r="J321" s="237"/>
      <c r="K321" s="237"/>
      <c r="L321" s="241"/>
      <c r="M321" s="242"/>
      <c r="N321" s="243"/>
      <c r="O321" s="243"/>
      <c r="P321" s="243"/>
      <c r="Q321" s="243"/>
      <c r="R321" s="243"/>
      <c r="S321" s="243"/>
      <c r="T321" s="244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T321" s="245" t="s">
        <v>142</v>
      </c>
      <c r="AU321" s="245" t="s">
        <v>91</v>
      </c>
      <c r="AV321" s="13" t="s">
        <v>89</v>
      </c>
      <c r="AW321" s="13" t="s">
        <v>36</v>
      </c>
      <c r="AX321" s="13" t="s">
        <v>81</v>
      </c>
      <c r="AY321" s="245" t="s">
        <v>130</v>
      </c>
    </row>
    <row r="322" s="14" customFormat="1">
      <c r="A322" s="14"/>
      <c r="B322" s="246"/>
      <c r="C322" s="247"/>
      <c r="D322" s="230" t="s">
        <v>142</v>
      </c>
      <c r="E322" s="248" t="s">
        <v>1</v>
      </c>
      <c r="F322" s="249" t="s">
        <v>91</v>
      </c>
      <c r="G322" s="247"/>
      <c r="H322" s="250">
        <v>2</v>
      </c>
      <c r="I322" s="251"/>
      <c r="J322" s="247"/>
      <c r="K322" s="247"/>
      <c r="L322" s="252"/>
      <c r="M322" s="253"/>
      <c r="N322" s="254"/>
      <c r="O322" s="254"/>
      <c r="P322" s="254"/>
      <c r="Q322" s="254"/>
      <c r="R322" s="254"/>
      <c r="S322" s="254"/>
      <c r="T322" s="255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T322" s="256" t="s">
        <v>142</v>
      </c>
      <c r="AU322" s="256" t="s">
        <v>91</v>
      </c>
      <c r="AV322" s="14" t="s">
        <v>91</v>
      </c>
      <c r="AW322" s="14" t="s">
        <v>36</v>
      </c>
      <c r="AX322" s="14" t="s">
        <v>89</v>
      </c>
      <c r="AY322" s="256" t="s">
        <v>130</v>
      </c>
    </row>
    <row r="323" s="2" customFormat="1" ht="16.5" customHeight="1">
      <c r="A323" s="37"/>
      <c r="B323" s="38"/>
      <c r="C323" s="217" t="s">
        <v>374</v>
      </c>
      <c r="D323" s="217" t="s">
        <v>132</v>
      </c>
      <c r="E323" s="218" t="s">
        <v>375</v>
      </c>
      <c r="F323" s="219" t="s">
        <v>376</v>
      </c>
      <c r="G323" s="220" t="s">
        <v>224</v>
      </c>
      <c r="H323" s="221">
        <v>1</v>
      </c>
      <c r="I323" s="222"/>
      <c r="J323" s="223">
        <f>ROUND(I323*H323,2)</f>
        <v>0</v>
      </c>
      <c r="K323" s="219" t="s">
        <v>136</v>
      </c>
      <c r="L323" s="43"/>
      <c r="M323" s="224" t="s">
        <v>1</v>
      </c>
      <c r="N323" s="225" t="s">
        <v>46</v>
      </c>
      <c r="O323" s="90"/>
      <c r="P323" s="226">
        <f>O323*H323</f>
        <v>0</v>
      </c>
      <c r="Q323" s="226">
        <v>0</v>
      </c>
      <c r="R323" s="226">
        <f>Q323*H323</f>
        <v>0</v>
      </c>
      <c r="S323" s="226">
        <v>0</v>
      </c>
      <c r="T323" s="227">
        <f>S323*H323</f>
        <v>0</v>
      </c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R323" s="228" t="s">
        <v>137</v>
      </c>
      <c r="AT323" s="228" t="s">
        <v>132</v>
      </c>
      <c r="AU323" s="228" t="s">
        <v>91</v>
      </c>
      <c r="AY323" s="16" t="s">
        <v>130</v>
      </c>
      <c r="BE323" s="229">
        <f>IF(N323="základní",J323,0)</f>
        <v>0</v>
      </c>
      <c r="BF323" s="229">
        <f>IF(N323="snížená",J323,0)</f>
        <v>0</v>
      </c>
      <c r="BG323" s="229">
        <f>IF(N323="zákl. přenesená",J323,0)</f>
        <v>0</v>
      </c>
      <c r="BH323" s="229">
        <f>IF(N323="sníž. přenesená",J323,0)</f>
        <v>0</v>
      </c>
      <c r="BI323" s="229">
        <f>IF(N323="nulová",J323,0)</f>
        <v>0</v>
      </c>
      <c r="BJ323" s="16" t="s">
        <v>89</v>
      </c>
      <c r="BK323" s="229">
        <f>ROUND(I323*H323,2)</f>
        <v>0</v>
      </c>
      <c r="BL323" s="16" t="s">
        <v>137</v>
      </c>
      <c r="BM323" s="228" t="s">
        <v>377</v>
      </c>
    </row>
    <row r="324" s="2" customFormat="1">
      <c r="A324" s="37"/>
      <c r="B324" s="38"/>
      <c r="C324" s="39"/>
      <c r="D324" s="230" t="s">
        <v>139</v>
      </c>
      <c r="E324" s="39"/>
      <c r="F324" s="231" t="s">
        <v>376</v>
      </c>
      <c r="G324" s="39"/>
      <c r="H324" s="39"/>
      <c r="I324" s="232"/>
      <c r="J324" s="39"/>
      <c r="K324" s="39"/>
      <c r="L324" s="43"/>
      <c r="M324" s="233"/>
      <c r="N324" s="234"/>
      <c r="O324" s="90"/>
      <c r="P324" s="90"/>
      <c r="Q324" s="90"/>
      <c r="R324" s="90"/>
      <c r="S324" s="90"/>
      <c r="T324" s="91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T324" s="16" t="s">
        <v>139</v>
      </c>
      <c r="AU324" s="16" t="s">
        <v>91</v>
      </c>
    </row>
    <row r="325" s="2" customFormat="1">
      <c r="A325" s="37"/>
      <c r="B325" s="38"/>
      <c r="C325" s="39"/>
      <c r="D325" s="230" t="s">
        <v>140</v>
      </c>
      <c r="E325" s="39"/>
      <c r="F325" s="235" t="s">
        <v>378</v>
      </c>
      <c r="G325" s="39"/>
      <c r="H325" s="39"/>
      <c r="I325" s="232"/>
      <c r="J325" s="39"/>
      <c r="K325" s="39"/>
      <c r="L325" s="43"/>
      <c r="M325" s="233"/>
      <c r="N325" s="234"/>
      <c r="O325" s="90"/>
      <c r="P325" s="90"/>
      <c r="Q325" s="90"/>
      <c r="R325" s="90"/>
      <c r="S325" s="90"/>
      <c r="T325" s="91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T325" s="16" t="s">
        <v>140</v>
      </c>
      <c r="AU325" s="16" t="s">
        <v>91</v>
      </c>
    </row>
    <row r="326" s="13" customFormat="1">
      <c r="A326" s="13"/>
      <c r="B326" s="236"/>
      <c r="C326" s="237"/>
      <c r="D326" s="230" t="s">
        <v>142</v>
      </c>
      <c r="E326" s="238" t="s">
        <v>1</v>
      </c>
      <c r="F326" s="239" t="s">
        <v>379</v>
      </c>
      <c r="G326" s="237"/>
      <c r="H326" s="238" t="s">
        <v>1</v>
      </c>
      <c r="I326" s="240"/>
      <c r="J326" s="237"/>
      <c r="K326" s="237"/>
      <c r="L326" s="241"/>
      <c r="M326" s="242"/>
      <c r="N326" s="243"/>
      <c r="O326" s="243"/>
      <c r="P326" s="243"/>
      <c r="Q326" s="243"/>
      <c r="R326" s="243"/>
      <c r="S326" s="243"/>
      <c r="T326" s="244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T326" s="245" t="s">
        <v>142</v>
      </c>
      <c r="AU326" s="245" t="s">
        <v>91</v>
      </c>
      <c r="AV326" s="13" t="s">
        <v>89</v>
      </c>
      <c r="AW326" s="13" t="s">
        <v>36</v>
      </c>
      <c r="AX326" s="13" t="s">
        <v>81</v>
      </c>
      <c r="AY326" s="245" t="s">
        <v>130</v>
      </c>
    </row>
    <row r="327" s="14" customFormat="1">
      <c r="A327" s="14"/>
      <c r="B327" s="246"/>
      <c r="C327" s="247"/>
      <c r="D327" s="230" t="s">
        <v>142</v>
      </c>
      <c r="E327" s="248" t="s">
        <v>1</v>
      </c>
      <c r="F327" s="249" t="s">
        <v>89</v>
      </c>
      <c r="G327" s="247"/>
      <c r="H327" s="250">
        <v>1</v>
      </c>
      <c r="I327" s="251"/>
      <c r="J327" s="247"/>
      <c r="K327" s="247"/>
      <c r="L327" s="252"/>
      <c r="M327" s="253"/>
      <c r="N327" s="254"/>
      <c r="O327" s="254"/>
      <c r="P327" s="254"/>
      <c r="Q327" s="254"/>
      <c r="R327" s="254"/>
      <c r="S327" s="254"/>
      <c r="T327" s="255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T327" s="256" t="s">
        <v>142</v>
      </c>
      <c r="AU327" s="256" t="s">
        <v>91</v>
      </c>
      <c r="AV327" s="14" t="s">
        <v>91</v>
      </c>
      <c r="AW327" s="14" t="s">
        <v>36</v>
      </c>
      <c r="AX327" s="14" t="s">
        <v>89</v>
      </c>
      <c r="AY327" s="256" t="s">
        <v>130</v>
      </c>
    </row>
    <row r="328" s="12" customFormat="1" ht="22.8" customHeight="1">
      <c r="A328" s="12"/>
      <c r="B328" s="201"/>
      <c r="C328" s="202"/>
      <c r="D328" s="203" t="s">
        <v>80</v>
      </c>
      <c r="E328" s="215" t="s">
        <v>219</v>
      </c>
      <c r="F328" s="215" t="s">
        <v>220</v>
      </c>
      <c r="G328" s="202"/>
      <c r="H328" s="202"/>
      <c r="I328" s="205"/>
      <c r="J328" s="216">
        <f>BK328</f>
        <v>0</v>
      </c>
      <c r="K328" s="202"/>
      <c r="L328" s="207"/>
      <c r="M328" s="208"/>
      <c r="N328" s="209"/>
      <c r="O328" s="209"/>
      <c r="P328" s="210">
        <f>SUM(P329:P349)</f>
        <v>0</v>
      </c>
      <c r="Q328" s="209"/>
      <c r="R328" s="210">
        <f>SUM(R329:R349)</f>
        <v>0</v>
      </c>
      <c r="S328" s="209"/>
      <c r="T328" s="211">
        <f>SUM(T329:T349)</f>
        <v>0</v>
      </c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R328" s="212" t="s">
        <v>89</v>
      </c>
      <c r="AT328" s="213" t="s">
        <v>80</v>
      </c>
      <c r="AU328" s="213" t="s">
        <v>89</v>
      </c>
      <c r="AY328" s="212" t="s">
        <v>130</v>
      </c>
      <c r="BK328" s="214">
        <f>SUM(BK329:BK349)</f>
        <v>0</v>
      </c>
    </row>
    <row r="329" s="2" customFormat="1" ht="37.8" customHeight="1">
      <c r="A329" s="37"/>
      <c r="B329" s="38"/>
      <c r="C329" s="217" t="s">
        <v>228</v>
      </c>
      <c r="D329" s="217" t="s">
        <v>132</v>
      </c>
      <c r="E329" s="218" t="s">
        <v>229</v>
      </c>
      <c r="F329" s="219" t="s">
        <v>230</v>
      </c>
      <c r="G329" s="220" t="s">
        <v>163</v>
      </c>
      <c r="H329" s="221">
        <v>1210</v>
      </c>
      <c r="I329" s="222"/>
      <c r="J329" s="223">
        <f>ROUND(I329*H329,2)</f>
        <v>0</v>
      </c>
      <c r="K329" s="219" t="s">
        <v>136</v>
      </c>
      <c r="L329" s="43"/>
      <c r="M329" s="224" t="s">
        <v>1</v>
      </c>
      <c r="N329" s="225" t="s">
        <v>46</v>
      </c>
      <c r="O329" s="90"/>
      <c r="P329" s="226">
        <f>O329*H329</f>
        <v>0</v>
      </c>
      <c r="Q329" s="226">
        <v>0</v>
      </c>
      <c r="R329" s="226">
        <f>Q329*H329</f>
        <v>0</v>
      </c>
      <c r="S329" s="226">
        <v>0</v>
      </c>
      <c r="T329" s="227">
        <f>S329*H329</f>
        <v>0</v>
      </c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R329" s="228" t="s">
        <v>137</v>
      </c>
      <c r="AT329" s="228" t="s">
        <v>132</v>
      </c>
      <c r="AU329" s="228" t="s">
        <v>91</v>
      </c>
      <c r="AY329" s="16" t="s">
        <v>130</v>
      </c>
      <c r="BE329" s="229">
        <f>IF(N329="základní",J329,0)</f>
        <v>0</v>
      </c>
      <c r="BF329" s="229">
        <f>IF(N329="snížená",J329,0)</f>
        <v>0</v>
      </c>
      <c r="BG329" s="229">
        <f>IF(N329="zákl. přenesená",J329,0)</f>
        <v>0</v>
      </c>
      <c r="BH329" s="229">
        <f>IF(N329="sníž. přenesená",J329,0)</f>
        <v>0</v>
      </c>
      <c r="BI329" s="229">
        <f>IF(N329="nulová",J329,0)</f>
        <v>0</v>
      </c>
      <c r="BJ329" s="16" t="s">
        <v>89</v>
      </c>
      <c r="BK329" s="229">
        <f>ROUND(I329*H329,2)</f>
        <v>0</v>
      </c>
      <c r="BL329" s="16" t="s">
        <v>137</v>
      </c>
      <c r="BM329" s="228" t="s">
        <v>231</v>
      </c>
    </row>
    <row r="330" s="2" customFormat="1">
      <c r="A330" s="37"/>
      <c r="B330" s="38"/>
      <c r="C330" s="39"/>
      <c r="D330" s="230" t="s">
        <v>139</v>
      </c>
      <c r="E330" s="39"/>
      <c r="F330" s="231" t="s">
        <v>232</v>
      </c>
      <c r="G330" s="39"/>
      <c r="H330" s="39"/>
      <c r="I330" s="232"/>
      <c r="J330" s="39"/>
      <c r="K330" s="39"/>
      <c r="L330" s="43"/>
      <c r="M330" s="233"/>
      <c r="N330" s="234"/>
      <c r="O330" s="90"/>
      <c r="P330" s="90"/>
      <c r="Q330" s="90"/>
      <c r="R330" s="90"/>
      <c r="S330" s="90"/>
      <c r="T330" s="91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T330" s="16" t="s">
        <v>139</v>
      </c>
      <c r="AU330" s="16" t="s">
        <v>91</v>
      </c>
    </row>
    <row r="331" s="13" customFormat="1">
      <c r="A331" s="13"/>
      <c r="B331" s="236"/>
      <c r="C331" s="237"/>
      <c r="D331" s="230" t="s">
        <v>142</v>
      </c>
      <c r="E331" s="238" t="s">
        <v>1</v>
      </c>
      <c r="F331" s="239" t="s">
        <v>233</v>
      </c>
      <c r="G331" s="237"/>
      <c r="H331" s="238" t="s">
        <v>1</v>
      </c>
      <c r="I331" s="240"/>
      <c r="J331" s="237"/>
      <c r="K331" s="237"/>
      <c r="L331" s="241"/>
      <c r="M331" s="242"/>
      <c r="N331" s="243"/>
      <c r="O331" s="243"/>
      <c r="P331" s="243"/>
      <c r="Q331" s="243"/>
      <c r="R331" s="243"/>
      <c r="S331" s="243"/>
      <c r="T331" s="244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T331" s="245" t="s">
        <v>142</v>
      </c>
      <c r="AU331" s="245" t="s">
        <v>91</v>
      </c>
      <c r="AV331" s="13" t="s">
        <v>89</v>
      </c>
      <c r="AW331" s="13" t="s">
        <v>36</v>
      </c>
      <c r="AX331" s="13" t="s">
        <v>81</v>
      </c>
      <c r="AY331" s="245" t="s">
        <v>130</v>
      </c>
    </row>
    <row r="332" s="13" customFormat="1">
      <c r="A332" s="13"/>
      <c r="B332" s="236"/>
      <c r="C332" s="237"/>
      <c r="D332" s="230" t="s">
        <v>142</v>
      </c>
      <c r="E332" s="238" t="s">
        <v>1</v>
      </c>
      <c r="F332" s="239" t="s">
        <v>267</v>
      </c>
      <c r="G332" s="237"/>
      <c r="H332" s="238" t="s">
        <v>1</v>
      </c>
      <c r="I332" s="240"/>
      <c r="J332" s="237"/>
      <c r="K332" s="237"/>
      <c r="L332" s="241"/>
      <c r="M332" s="242"/>
      <c r="N332" s="243"/>
      <c r="O332" s="243"/>
      <c r="P332" s="243"/>
      <c r="Q332" s="243"/>
      <c r="R332" s="243"/>
      <c r="S332" s="243"/>
      <c r="T332" s="244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T332" s="245" t="s">
        <v>142</v>
      </c>
      <c r="AU332" s="245" t="s">
        <v>91</v>
      </c>
      <c r="AV332" s="13" t="s">
        <v>89</v>
      </c>
      <c r="AW332" s="13" t="s">
        <v>36</v>
      </c>
      <c r="AX332" s="13" t="s">
        <v>81</v>
      </c>
      <c r="AY332" s="245" t="s">
        <v>130</v>
      </c>
    </row>
    <row r="333" s="13" customFormat="1">
      <c r="A333" s="13"/>
      <c r="B333" s="236"/>
      <c r="C333" s="237"/>
      <c r="D333" s="230" t="s">
        <v>142</v>
      </c>
      <c r="E333" s="238" t="s">
        <v>1</v>
      </c>
      <c r="F333" s="239" t="s">
        <v>157</v>
      </c>
      <c r="G333" s="237"/>
      <c r="H333" s="238" t="s">
        <v>1</v>
      </c>
      <c r="I333" s="240"/>
      <c r="J333" s="237"/>
      <c r="K333" s="237"/>
      <c r="L333" s="241"/>
      <c r="M333" s="242"/>
      <c r="N333" s="243"/>
      <c r="O333" s="243"/>
      <c r="P333" s="243"/>
      <c r="Q333" s="243"/>
      <c r="R333" s="243"/>
      <c r="S333" s="243"/>
      <c r="T333" s="244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T333" s="245" t="s">
        <v>142</v>
      </c>
      <c r="AU333" s="245" t="s">
        <v>91</v>
      </c>
      <c r="AV333" s="13" t="s">
        <v>89</v>
      </c>
      <c r="AW333" s="13" t="s">
        <v>36</v>
      </c>
      <c r="AX333" s="13" t="s">
        <v>81</v>
      </c>
      <c r="AY333" s="245" t="s">
        <v>130</v>
      </c>
    </row>
    <row r="334" s="14" customFormat="1">
      <c r="A334" s="14"/>
      <c r="B334" s="246"/>
      <c r="C334" s="247"/>
      <c r="D334" s="230" t="s">
        <v>142</v>
      </c>
      <c r="E334" s="248" t="s">
        <v>1</v>
      </c>
      <c r="F334" s="249" t="s">
        <v>380</v>
      </c>
      <c r="G334" s="247"/>
      <c r="H334" s="250">
        <v>1210</v>
      </c>
      <c r="I334" s="251"/>
      <c r="J334" s="247"/>
      <c r="K334" s="247"/>
      <c r="L334" s="252"/>
      <c r="M334" s="253"/>
      <c r="N334" s="254"/>
      <c r="O334" s="254"/>
      <c r="P334" s="254"/>
      <c r="Q334" s="254"/>
      <c r="R334" s="254"/>
      <c r="S334" s="254"/>
      <c r="T334" s="255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T334" s="256" t="s">
        <v>142</v>
      </c>
      <c r="AU334" s="256" t="s">
        <v>91</v>
      </c>
      <c r="AV334" s="14" t="s">
        <v>91</v>
      </c>
      <c r="AW334" s="14" t="s">
        <v>36</v>
      </c>
      <c r="AX334" s="14" t="s">
        <v>89</v>
      </c>
      <c r="AY334" s="256" t="s">
        <v>130</v>
      </c>
    </row>
    <row r="335" s="2" customFormat="1" ht="24.15" customHeight="1">
      <c r="A335" s="37"/>
      <c r="B335" s="38"/>
      <c r="C335" s="217" t="s">
        <v>381</v>
      </c>
      <c r="D335" s="217" t="s">
        <v>132</v>
      </c>
      <c r="E335" s="218" t="s">
        <v>382</v>
      </c>
      <c r="F335" s="219" t="s">
        <v>383</v>
      </c>
      <c r="G335" s="220" t="s">
        <v>163</v>
      </c>
      <c r="H335" s="221">
        <v>67</v>
      </c>
      <c r="I335" s="222"/>
      <c r="J335" s="223">
        <f>ROUND(I335*H335,2)</f>
        <v>0</v>
      </c>
      <c r="K335" s="219" t="s">
        <v>136</v>
      </c>
      <c r="L335" s="43"/>
      <c r="M335" s="224" t="s">
        <v>1</v>
      </c>
      <c r="N335" s="225" t="s">
        <v>46</v>
      </c>
      <c r="O335" s="90"/>
      <c r="P335" s="226">
        <f>O335*H335</f>
        <v>0</v>
      </c>
      <c r="Q335" s="226">
        <v>0</v>
      </c>
      <c r="R335" s="226">
        <f>Q335*H335</f>
        <v>0</v>
      </c>
      <c r="S335" s="226">
        <v>0</v>
      </c>
      <c r="T335" s="227">
        <f>S335*H335</f>
        <v>0</v>
      </c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R335" s="228" t="s">
        <v>137</v>
      </c>
      <c r="AT335" s="228" t="s">
        <v>132</v>
      </c>
      <c r="AU335" s="228" t="s">
        <v>91</v>
      </c>
      <c r="AY335" s="16" t="s">
        <v>130</v>
      </c>
      <c r="BE335" s="229">
        <f>IF(N335="základní",J335,0)</f>
        <v>0</v>
      </c>
      <c r="BF335" s="229">
        <f>IF(N335="snížená",J335,0)</f>
        <v>0</v>
      </c>
      <c r="BG335" s="229">
        <f>IF(N335="zákl. přenesená",J335,0)</f>
        <v>0</v>
      </c>
      <c r="BH335" s="229">
        <f>IF(N335="sníž. přenesená",J335,0)</f>
        <v>0</v>
      </c>
      <c r="BI335" s="229">
        <f>IF(N335="nulová",J335,0)</f>
        <v>0</v>
      </c>
      <c r="BJ335" s="16" t="s">
        <v>89</v>
      </c>
      <c r="BK335" s="229">
        <f>ROUND(I335*H335,2)</f>
        <v>0</v>
      </c>
      <c r="BL335" s="16" t="s">
        <v>137</v>
      </c>
      <c r="BM335" s="228" t="s">
        <v>384</v>
      </c>
    </row>
    <row r="336" s="2" customFormat="1">
      <c r="A336" s="37"/>
      <c r="B336" s="38"/>
      <c r="C336" s="39"/>
      <c r="D336" s="230" t="s">
        <v>139</v>
      </c>
      <c r="E336" s="39"/>
      <c r="F336" s="231" t="s">
        <v>383</v>
      </c>
      <c r="G336" s="39"/>
      <c r="H336" s="39"/>
      <c r="I336" s="232"/>
      <c r="J336" s="39"/>
      <c r="K336" s="39"/>
      <c r="L336" s="43"/>
      <c r="M336" s="233"/>
      <c r="N336" s="234"/>
      <c r="O336" s="90"/>
      <c r="P336" s="90"/>
      <c r="Q336" s="90"/>
      <c r="R336" s="90"/>
      <c r="S336" s="90"/>
      <c r="T336" s="91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T336" s="16" t="s">
        <v>139</v>
      </c>
      <c r="AU336" s="16" t="s">
        <v>91</v>
      </c>
    </row>
    <row r="337" s="2" customFormat="1">
      <c r="A337" s="37"/>
      <c r="B337" s="38"/>
      <c r="C337" s="39"/>
      <c r="D337" s="230" t="s">
        <v>140</v>
      </c>
      <c r="E337" s="39"/>
      <c r="F337" s="235" t="s">
        <v>385</v>
      </c>
      <c r="G337" s="39"/>
      <c r="H337" s="39"/>
      <c r="I337" s="232"/>
      <c r="J337" s="39"/>
      <c r="K337" s="39"/>
      <c r="L337" s="43"/>
      <c r="M337" s="233"/>
      <c r="N337" s="234"/>
      <c r="O337" s="90"/>
      <c r="P337" s="90"/>
      <c r="Q337" s="90"/>
      <c r="R337" s="90"/>
      <c r="S337" s="90"/>
      <c r="T337" s="91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T337" s="16" t="s">
        <v>140</v>
      </c>
      <c r="AU337" s="16" t="s">
        <v>91</v>
      </c>
    </row>
    <row r="338" s="13" customFormat="1">
      <c r="A338" s="13"/>
      <c r="B338" s="236"/>
      <c r="C338" s="237"/>
      <c r="D338" s="230" t="s">
        <v>142</v>
      </c>
      <c r="E338" s="238" t="s">
        <v>1</v>
      </c>
      <c r="F338" s="239" t="s">
        <v>290</v>
      </c>
      <c r="G338" s="237"/>
      <c r="H338" s="238" t="s">
        <v>1</v>
      </c>
      <c r="I338" s="240"/>
      <c r="J338" s="237"/>
      <c r="K338" s="237"/>
      <c r="L338" s="241"/>
      <c r="M338" s="242"/>
      <c r="N338" s="243"/>
      <c r="O338" s="243"/>
      <c r="P338" s="243"/>
      <c r="Q338" s="243"/>
      <c r="R338" s="243"/>
      <c r="S338" s="243"/>
      <c r="T338" s="244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T338" s="245" t="s">
        <v>142</v>
      </c>
      <c r="AU338" s="245" t="s">
        <v>91</v>
      </c>
      <c r="AV338" s="13" t="s">
        <v>89</v>
      </c>
      <c r="AW338" s="13" t="s">
        <v>36</v>
      </c>
      <c r="AX338" s="13" t="s">
        <v>81</v>
      </c>
      <c r="AY338" s="245" t="s">
        <v>130</v>
      </c>
    </row>
    <row r="339" s="14" customFormat="1">
      <c r="A339" s="14"/>
      <c r="B339" s="246"/>
      <c r="C339" s="247"/>
      <c r="D339" s="230" t="s">
        <v>142</v>
      </c>
      <c r="E339" s="248" t="s">
        <v>1</v>
      </c>
      <c r="F339" s="249" t="s">
        <v>386</v>
      </c>
      <c r="G339" s="247"/>
      <c r="H339" s="250">
        <v>67</v>
      </c>
      <c r="I339" s="251"/>
      <c r="J339" s="247"/>
      <c r="K339" s="247"/>
      <c r="L339" s="252"/>
      <c r="M339" s="253"/>
      <c r="N339" s="254"/>
      <c r="O339" s="254"/>
      <c r="P339" s="254"/>
      <c r="Q339" s="254"/>
      <c r="R339" s="254"/>
      <c r="S339" s="254"/>
      <c r="T339" s="255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T339" s="256" t="s">
        <v>142</v>
      </c>
      <c r="AU339" s="256" t="s">
        <v>91</v>
      </c>
      <c r="AV339" s="14" t="s">
        <v>91</v>
      </c>
      <c r="AW339" s="14" t="s">
        <v>36</v>
      </c>
      <c r="AX339" s="14" t="s">
        <v>89</v>
      </c>
      <c r="AY339" s="256" t="s">
        <v>130</v>
      </c>
    </row>
    <row r="340" s="2" customFormat="1" ht="24.15" customHeight="1">
      <c r="A340" s="37"/>
      <c r="B340" s="38"/>
      <c r="C340" s="217" t="s">
        <v>387</v>
      </c>
      <c r="D340" s="217" t="s">
        <v>132</v>
      </c>
      <c r="E340" s="218" t="s">
        <v>388</v>
      </c>
      <c r="F340" s="219" t="s">
        <v>389</v>
      </c>
      <c r="G340" s="220" t="s">
        <v>163</v>
      </c>
      <c r="H340" s="221">
        <v>68</v>
      </c>
      <c r="I340" s="222"/>
      <c r="J340" s="223">
        <f>ROUND(I340*H340,2)</f>
        <v>0</v>
      </c>
      <c r="K340" s="219" t="s">
        <v>136</v>
      </c>
      <c r="L340" s="43"/>
      <c r="M340" s="224" t="s">
        <v>1</v>
      </c>
      <c r="N340" s="225" t="s">
        <v>46</v>
      </c>
      <c r="O340" s="90"/>
      <c r="P340" s="226">
        <f>O340*H340</f>
        <v>0</v>
      </c>
      <c r="Q340" s="226">
        <v>0</v>
      </c>
      <c r="R340" s="226">
        <f>Q340*H340</f>
        <v>0</v>
      </c>
      <c r="S340" s="226">
        <v>0</v>
      </c>
      <c r="T340" s="227">
        <f>S340*H340</f>
        <v>0</v>
      </c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R340" s="228" t="s">
        <v>137</v>
      </c>
      <c r="AT340" s="228" t="s">
        <v>132</v>
      </c>
      <c r="AU340" s="228" t="s">
        <v>91</v>
      </c>
      <c r="AY340" s="16" t="s">
        <v>130</v>
      </c>
      <c r="BE340" s="229">
        <f>IF(N340="základní",J340,0)</f>
        <v>0</v>
      </c>
      <c r="BF340" s="229">
        <f>IF(N340="snížená",J340,0)</f>
        <v>0</v>
      </c>
      <c r="BG340" s="229">
        <f>IF(N340="zákl. přenesená",J340,0)</f>
        <v>0</v>
      </c>
      <c r="BH340" s="229">
        <f>IF(N340="sníž. přenesená",J340,0)</f>
        <v>0</v>
      </c>
      <c r="BI340" s="229">
        <f>IF(N340="nulová",J340,0)</f>
        <v>0</v>
      </c>
      <c r="BJ340" s="16" t="s">
        <v>89</v>
      </c>
      <c r="BK340" s="229">
        <f>ROUND(I340*H340,2)</f>
        <v>0</v>
      </c>
      <c r="BL340" s="16" t="s">
        <v>137</v>
      </c>
      <c r="BM340" s="228" t="s">
        <v>390</v>
      </c>
    </row>
    <row r="341" s="2" customFormat="1">
      <c r="A341" s="37"/>
      <c r="B341" s="38"/>
      <c r="C341" s="39"/>
      <c r="D341" s="230" t="s">
        <v>139</v>
      </c>
      <c r="E341" s="39"/>
      <c r="F341" s="231" t="s">
        <v>389</v>
      </c>
      <c r="G341" s="39"/>
      <c r="H341" s="39"/>
      <c r="I341" s="232"/>
      <c r="J341" s="39"/>
      <c r="K341" s="39"/>
      <c r="L341" s="43"/>
      <c r="M341" s="233"/>
      <c r="N341" s="234"/>
      <c r="O341" s="90"/>
      <c r="P341" s="90"/>
      <c r="Q341" s="90"/>
      <c r="R341" s="90"/>
      <c r="S341" s="90"/>
      <c r="T341" s="91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T341" s="16" t="s">
        <v>139</v>
      </c>
      <c r="AU341" s="16" t="s">
        <v>91</v>
      </c>
    </row>
    <row r="342" s="2" customFormat="1">
      <c r="A342" s="37"/>
      <c r="B342" s="38"/>
      <c r="C342" s="39"/>
      <c r="D342" s="230" t="s">
        <v>140</v>
      </c>
      <c r="E342" s="39"/>
      <c r="F342" s="235" t="s">
        <v>391</v>
      </c>
      <c r="G342" s="39"/>
      <c r="H342" s="39"/>
      <c r="I342" s="232"/>
      <c r="J342" s="39"/>
      <c r="K342" s="39"/>
      <c r="L342" s="43"/>
      <c r="M342" s="233"/>
      <c r="N342" s="234"/>
      <c r="O342" s="90"/>
      <c r="P342" s="90"/>
      <c r="Q342" s="90"/>
      <c r="R342" s="90"/>
      <c r="S342" s="90"/>
      <c r="T342" s="91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T342" s="16" t="s">
        <v>140</v>
      </c>
      <c r="AU342" s="16" t="s">
        <v>91</v>
      </c>
    </row>
    <row r="343" s="13" customFormat="1">
      <c r="A343" s="13"/>
      <c r="B343" s="236"/>
      <c r="C343" s="237"/>
      <c r="D343" s="230" t="s">
        <v>142</v>
      </c>
      <c r="E343" s="238" t="s">
        <v>1</v>
      </c>
      <c r="F343" s="239" t="s">
        <v>293</v>
      </c>
      <c r="G343" s="237"/>
      <c r="H343" s="238" t="s">
        <v>1</v>
      </c>
      <c r="I343" s="240"/>
      <c r="J343" s="237"/>
      <c r="K343" s="237"/>
      <c r="L343" s="241"/>
      <c r="M343" s="242"/>
      <c r="N343" s="243"/>
      <c r="O343" s="243"/>
      <c r="P343" s="243"/>
      <c r="Q343" s="243"/>
      <c r="R343" s="243"/>
      <c r="S343" s="243"/>
      <c r="T343" s="244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T343" s="245" t="s">
        <v>142</v>
      </c>
      <c r="AU343" s="245" t="s">
        <v>91</v>
      </c>
      <c r="AV343" s="13" t="s">
        <v>89</v>
      </c>
      <c r="AW343" s="13" t="s">
        <v>36</v>
      </c>
      <c r="AX343" s="13" t="s">
        <v>81</v>
      </c>
      <c r="AY343" s="245" t="s">
        <v>130</v>
      </c>
    </row>
    <row r="344" s="14" customFormat="1">
      <c r="A344" s="14"/>
      <c r="B344" s="246"/>
      <c r="C344" s="247"/>
      <c r="D344" s="230" t="s">
        <v>142</v>
      </c>
      <c r="E344" s="248" t="s">
        <v>1</v>
      </c>
      <c r="F344" s="249" t="s">
        <v>392</v>
      </c>
      <c r="G344" s="247"/>
      <c r="H344" s="250">
        <v>68</v>
      </c>
      <c r="I344" s="251"/>
      <c r="J344" s="247"/>
      <c r="K344" s="247"/>
      <c r="L344" s="252"/>
      <c r="M344" s="253"/>
      <c r="N344" s="254"/>
      <c r="O344" s="254"/>
      <c r="P344" s="254"/>
      <c r="Q344" s="254"/>
      <c r="R344" s="254"/>
      <c r="S344" s="254"/>
      <c r="T344" s="255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T344" s="256" t="s">
        <v>142</v>
      </c>
      <c r="AU344" s="256" t="s">
        <v>91</v>
      </c>
      <c r="AV344" s="14" t="s">
        <v>91</v>
      </c>
      <c r="AW344" s="14" t="s">
        <v>36</v>
      </c>
      <c r="AX344" s="14" t="s">
        <v>89</v>
      </c>
      <c r="AY344" s="256" t="s">
        <v>130</v>
      </c>
    </row>
    <row r="345" s="2" customFormat="1" ht="16.5" customHeight="1">
      <c r="A345" s="37"/>
      <c r="B345" s="38"/>
      <c r="C345" s="217" t="s">
        <v>393</v>
      </c>
      <c r="D345" s="217" t="s">
        <v>132</v>
      </c>
      <c r="E345" s="218" t="s">
        <v>394</v>
      </c>
      <c r="F345" s="219" t="s">
        <v>395</v>
      </c>
      <c r="G345" s="220" t="s">
        <v>224</v>
      </c>
      <c r="H345" s="221">
        <v>2</v>
      </c>
      <c r="I345" s="222"/>
      <c r="J345" s="223">
        <f>ROUND(I345*H345,2)</f>
        <v>0</v>
      </c>
      <c r="K345" s="219" t="s">
        <v>136</v>
      </c>
      <c r="L345" s="43"/>
      <c r="M345" s="224" t="s">
        <v>1</v>
      </c>
      <c r="N345" s="225" t="s">
        <v>46</v>
      </c>
      <c r="O345" s="90"/>
      <c r="P345" s="226">
        <f>O345*H345</f>
        <v>0</v>
      </c>
      <c r="Q345" s="226">
        <v>0</v>
      </c>
      <c r="R345" s="226">
        <f>Q345*H345</f>
        <v>0</v>
      </c>
      <c r="S345" s="226">
        <v>0</v>
      </c>
      <c r="T345" s="227">
        <f>S345*H345</f>
        <v>0</v>
      </c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R345" s="228" t="s">
        <v>137</v>
      </c>
      <c r="AT345" s="228" t="s">
        <v>132</v>
      </c>
      <c r="AU345" s="228" t="s">
        <v>91</v>
      </c>
      <c r="AY345" s="16" t="s">
        <v>130</v>
      </c>
      <c r="BE345" s="229">
        <f>IF(N345="základní",J345,0)</f>
        <v>0</v>
      </c>
      <c r="BF345" s="229">
        <f>IF(N345="snížená",J345,0)</f>
        <v>0</v>
      </c>
      <c r="BG345" s="229">
        <f>IF(N345="zákl. přenesená",J345,0)</f>
        <v>0</v>
      </c>
      <c r="BH345" s="229">
        <f>IF(N345="sníž. přenesená",J345,0)</f>
        <v>0</v>
      </c>
      <c r="BI345" s="229">
        <f>IF(N345="nulová",J345,0)</f>
        <v>0</v>
      </c>
      <c r="BJ345" s="16" t="s">
        <v>89</v>
      </c>
      <c r="BK345" s="229">
        <f>ROUND(I345*H345,2)</f>
        <v>0</v>
      </c>
      <c r="BL345" s="16" t="s">
        <v>137</v>
      </c>
      <c r="BM345" s="228" t="s">
        <v>396</v>
      </c>
    </row>
    <row r="346" s="2" customFormat="1">
      <c r="A346" s="37"/>
      <c r="B346" s="38"/>
      <c r="C346" s="39"/>
      <c r="D346" s="230" t="s">
        <v>139</v>
      </c>
      <c r="E346" s="39"/>
      <c r="F346" s="231" t="s">
        <v>395</v>
      </c>
      <c r="G346" s="39"/>
      <c r="H346" s="39"/>
      <c r="I346" s="232"/>
      <c r="J346" s="39"/>
      <c r="K346" s="39"/>
      <c r="L346" s="43"/>
      <c r="M346" s="233"/>
      <c r="N346" s="234"/>
      <c r="O346" s="90"/>
      <c r="P346" s="90"/>
      <c r="Q346" s="90"/>
      <c r="R346" s="90"/>
      <c r="S346" s="90"/>
      <c r="T346" s="91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T346" s="16" t="s">
        <v>139</v>
      </c>
      <c r="AU346" s="16" t="s">
        <v>91</v>
      </c>
    </row>
    <row r="347" s="2" customFormat="1">
      <c r="A347" s="37"/>
      <c r="B347" s="38"/>
      <c r="C347" s="39"/>
      <c r="D347" s="230" t="s">
        <v>140</v>
      </c>
      <c r="E347" s="39"/>
      <c r="F347" s="235" t="s">
        <v>397</v>
      </c>
      <c r="G347" s="39"/>
      <c r="H347" s="39"/>
      <c r="I347" s="232"/>
      <c r="J347" s="39"/>
      <c r="K347" s="39"/>
      <c r="L347" s="43"/>
      <c r="M347" s="233"/>
      <c r="N347" s="234"/>
      <c r="O347" s="90"/>
      <c r="P347" s="90"/>
      <c r="Q347" s="90"/>
      <c r="R347" s="90"/>
      <c r="S347" s="90"/>
      <c r="T347" s="91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T347" s="16" t="s">
        <v>140</v>
      </c>
      <c r="AU347" s="16" t="s">
        <v>91</v>
      </c>
    </row>
    <row r="348" s="13" customFormat="1">
      <c r="A348" s="13"/>
      <c r="B348" s="236"/>
      <c r="C348" s="237"/>
      <c r="D348" s="230" t="s">
        <v>142</v>
      </c>
      <c r="E348" s="238" t="s">
        <v>1</v>
      </c>
      <c r="F348" s="239" t="s">
        <v>157</v>
      </c>
      <c r="G348" s="237"/>
      <c r="H348" s="238" t="s">
        <v>1</v>
      </c>
      <c r="I348" s="240"/>
      <c r="J348" s="237"/>
      <c r="K348" s="237"/>
      <c r="L348" s="241"/>
      <c r="M348" s="242"/>
      <c r="N348" s="243"/>
      <c r="O348" s="243"/>
      <c r="P348" s="243"/>
      <c r="Q348" s="243"/>
      <c r="R348" s="243"/>
      <c r="S348" s="243"/>
      <c r="T348" s="244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T348" s="245" t="s">
        <v>142</v>
      </c>
      <c r="AU348" s="245" t="s">
        <v>91</v>
      </c>
      <c r="AV348" s="13" t="s">
        <v>89</v>
      </c>
      <c r="AW348" s="13" t="s">
        <v>36</v>
      </c>
      <c r="AX348" s="13" t="s">
        <v>81</v>
      </c>
      <c r="AY348" s="245" t="s">
        <v>130</v>
      </c>
    </row>
    <row r="349" s="14" customFormat="1">
      <c r="A349" s="14"/>
      <c r="B349" s="246"/>
      <c r="C349" s="247"/>
      <c r="D349" s="230" t="s">
        <v>142</v>
      </c>
      <c r="E349" s="248" t="s">
        <v>1</v>
      </c>
      <c r="F349" s="249" t="s">
        <v>91</v>
      </c>
      <c r="G349" s="247"/>
      <c r="H349" s="250">
        <v>2</v>
      </c>
      <c r="I349" s="251"/>
      <c r="J349" s="247"/>
      <c r="K349" s="247"/>
      <c r="L349" s="252"/>
      <c r="M349" s="253"/>
      <c r="N349" s="254"/>
      <c r="O349" s="254"/>
      <c r="P349" s="254"/>
      <c r="Q349" s="254"/>
      <c r="R349" s="254"/>
      <c r="S349" s="254"/>
      <c r="T349" s="255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T349" s="256" t="s">
        <v>142</v>
      </c>
      <c r="AU349" s="256" t="s">
        <v>91</v>
      </c>
      <c r="AV349" s="14" t="s">
        <v>91</v>
      </c>
      <c r="AW349" s="14" t="s">
        <v>36</v>
      </c>
      <c r="AX349" s="14" t="s">
        <v>89</v>
      </c>
      <c r="AY349" s="256" t="s">
        <v>130</v>
      </c>
    </row>
    <row r="350" s="12" customFormat="1" ht="25.92" customHeight="1">
      <c r="A350" s="12"/>
      <c r="B350" s="201"/>
      <c r="C350" s="202"/>
      <c r="D350" s="203" t="s">
        <v>80</v>
      </c>
      <c r="E350" s="204" t="s">
        <v>235</v>
      </c>
      <c r="F350" s="204" t="s">
        <v>236</v>
      </c>
      <c r="G350" s="202"/>
      <c r="H350" s="202"/>
      <c r="I350" s="205"/>
      <c r="J350" s="206">
        <f>BK350</f>
        <v>0</v>
      </c>
      <c r="K350" s="202"/>
      <c r="L350" s="207"/>
      <c r="M350" s="208"/>
      <c r="N350" s="209"/>
      <c r="O350" s="209"/>
      <c r="P350" s="210">
        <f>SUM(P351:P377)</f>
        <v>0</v>
      </c>
      <c r="Q350" s="209"/>
      <c r="R350" s="210">
        <f>SUM(R351:R377)</f>
        <v>0</v>
      </c>
      <c r="S350" s="209"/>
      <c r="T350" s="211">
        <f>SUM(T351:T377)</f>
        <v>0</v>
      </c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R350" s="212" t="s">
        <v>137</v>
      </c>
      <c r="AT350" s="213" t="s">
        <v>80</v>
      </c>
      <c r="AU350" s="213" t="s">
        <v>81</v>
      </c>
      <c r="AY350" s="212" t="s">
        <v>130</v>
      </c>
      <c r="BK350" s="214">
        <f>SUM(BK351:BK377)</f>
        <v>0</v>
      </c>
    </row>
    <row r="351" s="2" customFormat="1" ht="16.5" customHeight="1">
      <c r="A351" s="37"/>
      <c r="B351" s="38"/>
      <c r="C351" s="217" t="s">
        <v>398</v>
      </c>
      <c r="D351" s="217" t="s">
        <v>132</v>
      </c>
      <c r="E351" s="218" t="s">
        <v>399</v>
      </c>
      <c r="F351" s="219" t="s">
        <v>400</v>
      </c>
      <c r="G351" s="220" t="s">
        <v>240</v>
      </c>
      <c r="H351" s="221">
        <v>997.83000000000004</v>
      </c>
      <c r="I351" s="222"/>
      <c r="J351" s="223">
        <f>ROUND(I351*H351,2)</f>
        <v>0</v>
      </c>
      <c r="K351" s="219" t="s">
        <v>136</v>
      </c>
      <c r="L351" s="43"/>
      <c r="M351" s="224" t="s">
        <v>1</v>
      </c>
      <c r="N351" s="225" t="s">
        <v>46</v>
      </c>
      <c r="O351" s="90"/>
      <c r="P351" s="226">
        <f>O351*H351</f>
        <v>0</v>
      </c>
      <c r="Q351" s="226">
        <v>0</v>
      </c>
      <c r="R351" s="226">
        <f>Q351*H351</f>
        <v>0</v>
      </c>
      <c r="S351" s="226">
        <v>0</v>
      </c>
      <c r="T351" s="227">
        <f>S351*H351</f>
        <v>0</v>
      </c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R351" s="228" t="s">
        <v>241</v>
      </c>
      <c r="AT351" s="228" t="s">
        <v>132</v>
      </c>
      <c r="AU351" s="228" t="s">
        <v>89</v>
      </c>
      <c r="AY351" s="16" t="s">
        <v>130</v>
      </c>
      <c r="BE351" s="229">
        <f>IF(N351="základní",J351,0)</f>
        <v>0</v>
      </c>
      <c r="BF351" s="229">
        <f>IF(N351="snížená",J351,0)</f>
        <v>0</v>
      </c>
      <c r="BG351" s="229">
        <f>IF(N351="zákl. přenesená",J351,0)</f>
        <v>0</v>
      </c>
      <c r="BH351" s="229">
        <f>IF(N351="sníž. přenesená",J351,0)</f>
        <v>0</v>
      </c>
      <c r="BI351" s="229">
        <f>IF(N351="nulová",J351,0)</f>
        <v>0</v>
      </c>
      <c r="BJ351" s="16" t="s">
        <v>89</v>
      </c>
      <c r="BK351" s="229">
        <f>ROUND(I351*H351,2)</f>
        <v>0</v>
      </c>
      <c r="BL351" s="16" t="s">
        <v>241</v>
      </c>
      <c r="BM351" s="228" t="s">
        <v>401</v>
      </c>
    </row>
    <row r="352" s="2" customFormat="1">
      <c r="A352" s="37"/>
      <c r="B352" s="38"/>
      <c r="C352" s="39"/>
      <c r="D352" s="230" t="s">
        <v>139</v>
      </c>
      <c r="E352" s="39"/>
      <c r="F352" s="231" t="s">
        <v>400</v>
      </c>
      <c r="G352" s="39"/>
      <c r="H352" s="39"/>
      <c r="I352" s="232"/>
      <c r="J352" s="39"/>
      <c r="K352" s="39"/>
      <c r="L352" s="43"/>
      <c r="M352" s="233"/>
      <c r="N352" s="234"/>
      <c r="O352" s="90"/>
      <c r="P352" s="90"/>
      <c r="Q352" s="90"/>
      <c r="R352" s="90"/>
      <c r="S352" s="90"/>
      <c r="T352" s="91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T352" s="16" t="s">
        <v>139</v>
      </c>
      <c r="AU352" s="16" t="s">
        <v>89</v>
      </c>
    </row>
    <row r="353" s="2" customFormat="1">
      <c r="A353" s="37"/>
      <c r="B353" s="38"/>
      <c r="C353" s="39"/>
      <c r="D353" s="230" t="s">
        <v>140</v>
      </c>
      <c r="E353" s="39"/>
      <c r="F353" s="235" t="s">
        <v>243</v>
      </c>
      <c r="G353" s="39"/>
      <c r="H353" s="39"/>
      <c r="I353" s="232"/>
      <c r="J353" s="39"/>
      <c r="K353" s="39"/>
      <c r="L353" s="43"/>
      <c r="M353" s="233"/>
      <c r="N353" s="234"/>
      <c r="O353" s="90"/>
      <c r="P353" s="90"/>
      <c r="Q353" s="90"/>
      <c r="R353" s="90"/>
      <c r="S353" s="90"/>
      <c r="T353" s="91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T353" s="16" t="s">
        <v>140</v>
      </c>
      <c r="AU353" s="16" t="s">
        <v>89</v>
      </c>
    </row>
    <row r="354" s="13" customFormat="1">
      <c r="A354" s="13"/>
      <c r="B354" s="236"/>
      <c r="C354" s="237"/>
      <c r="D354" s="230" t="s">
        <v>142</v>
      </c>
      <c r="E354" s="238" t="s">
        <v>1</v>
      </c>
      <c r="F354" s="239" t="s">
        <v>402</v>
      </c>
      <c r="G354" s="237"/>
      <c r="H354" s="238" t="s">
        <v>1</v>
      </c>
      <c r="I354" s="240"/>
      <c r="J354" s="237"/>
      <c r="K354" s="237"/>
      <c r="L354" s="241"/>
      <c r="M354" s="242"/>
      <c r="N354" s="243"/>
      <c r="O354" s="243"/>
      <c r="P354" s="243"/>
      <c r="Q354" s="243"/>
      <c r="R354" s="243"/>
      <c r="S354" s="243"/>
      <c r="T354" s="244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T354" s="245" t="s">
        <v>142</v>
      </c>
      <c r="AU354" s="245" t="s">
        <v>89</v>
      </c>
      <c r="AV354" s="13" t="s">
        <v>89</v>
      </c>
      <c r="AW354" s="13" t="s">
        <v>36</v>
      </c>
      <c r="AX354" s="13" t="s">
        <v>81</v>
      </c>
      <c r="AY354" s="245" t="s">
        <v>130</v>
      </c>
    </row>
    <row r="355" s="13" customFormat="1">
      <c r="A355" s="13"/>
      <c r="B355" s="236"/>
      <c r="C355" s="237"/>
      <c r="D355" s="230" t="s">
        <v>142</v>
      </c>
      <c r="E355" s="238" t="s">
        <v>1</v>
      </c>
      <c r="F355" s="239" t="s">
        <v>309</v>
      </c>
      <c r="G355" s="237"/>
      <c r="H355" s="238" t="s">
        <v>1</v>
      </c>
      <c r="I355" s="240"/>
      <c r="J355" s="237"/>
      <c r="K355" s="237"/>
      <c r="L355" s="241"/>
      <c r="M355" s="242"/>
      <c r="N355" s="243"/>
      <c r="O355" s="243"/>
      <c r="P355" s="243"/>
      <c r="Q355" s="243"/>
      <c r="R355" s="243"/>
      <c r="S355" s="243"/>
      <c r="T355" s="244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T355" s="245" t="s">
        <v>142</v>
      </c>
      <c r="AU355" s="245" t="s">
        <v>89</v>
      </c>
      <c r="AV355" s="13" t="s">
        <v>89</v>
      </c>
      <c r="AW355" s="13" t="s">
        <v>36</v>
      </c>
      <c r="AX355" s="13" t="s">
        <v>81</v>
      </c>
      <c r="AY355" s="245" t="s">
        <v>130</v>
      </c>
    </row>
    <row r="356" s="13" customFormat="1">
      <c r="A356" s="13"/>
      <c r="B356" s="236"/>
      <c r="C356" s="237"/>
      <c r="D356" s="230" t="s">
        <v>142</v>
      </c>
      <c r="E356" s="238" t="s">
        <v>1</v>
      </c>
      <c r="F356" s="239" t="s">
        <v>314</v>
      </c>
      <c r="G356" s="237"/>
      <c r="H356" s="238" t="s">
        <v>1</v>
      </c>
      <c r="I356" s="240"/>
      <c r="J356" s="237"/>
      <c r="K356" s="237"/>
      <c r="L356" s="241"/>
      <c r="M356" s="242"/>
      <c r="N356" s="243"/>
      <c r="O356" s="243"/>
      <c r="P356" s="243"/>
      <c r="Q356" s="243"/>
      <c r="R356" s="243"/>
      <c r="S356" s="243"/>
      <c r="T356" s="244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T356" s="245" t="s">
        <v>142</v>
      </c>
      <c r="AU356" s="245" t="s">
        <v>89</v>
      </c>
      <c r="AV356" s="13" t="s">
        <v>89</v>
      </c>
      <c r="AW356" s="13" t="s">
        <v>36</v>
      </c>
      <c r="AX356" s="13" t="s">
        <v>81</v>
      </c>
      <c r="AY356" s="245" t="s">
        <v>130</v>
      </c>
    </row>
    <row r="357" s="13" customFormat="1">
      <c r="A357" s="13"/>
      <c r="B357" s="236"/>
      <c r="C357" s="237"/>
      <c r="D357" s="230" t="s">
        <v>142</v>
      </c>
      <c r="E357" s="238" t="s">
        <v>1</v>
      </c>
      <c r="F357" s="239" t="s">
        <v>318</v>
      </c>
      <c r="G357" s="237"/>
      <c r="H357" s="238" t="s">
        <v>1</v>
      </c>
      <c r="I357" s="240"/>
      <c r="J357" s="237"/>
      <c r="K357" s="237"/>
      <c r="L357" s="241"/>
      <c r="M357" s="242"/>
      <c r="N357" s="243"/>
      <c r="O357" s="243"/>
      <c r="P357" s="243"/>
      <c r="Q357" s="243"/>
      <c r="R357" s="243"/>
      <c r="S357" s="243"/>
      <c r="T357" s="244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T357" s="245" t="s">
        <v>142</v>
      </c>
      <c r="AU357" s="245" t="s">
        <v>89</v>
      </c>
      <c r="AV357" s="13" t="s">
        <v>89</v>
      </c>
      <c r="AW357" s="13" t="s">
        <v>36</v>
      </c>
      <c r="AX357" s="13" t="s">
        <v>81</v>
      </c>
      <c r="AY357" s="245" t="s">
        <v>130</v>
      </c>
    </row>
    <row r="358" s="13" customFormat="1">
      <c r="A358" s="13"/>
      <c r="B358" s="236"/>
      <c r="C358" s="237"/>
      <c r="D358" s="230" t="s">
        <v>142</v>
      </c>
      <c r="E358" s="238" t="s">
        <v>1</v>
      </c>
      <c r="F358" s="239" t="s">
        <v>247</v>
      </c>
      <c r="G358" s="237"/>
      <c r="H358" s="238" t="s">
        <v>1</v>
      </c>
      <c r="I358" s="240"/>
      <c r="J358" s="237"/>
      <c r="K358" s="237"/>
      <c r="L358" s="241"/>
      <c r="M358" s="242"/>
      <c r="N358" s="243"/>
      <c r="O358" s="243"/>
      <c r="P358" s="243"/>
      <c r="Q358" s="243"/>
      <c r="R358" s="243"/>
      <c r="S358" s="243"/>
      <c r="T358" s="244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T358" s="245" t="s">
        <v>142</v>
      </c>
      <c r="AU358" s="245" t="s">
        <v>89</v>
      </c>
      <c r="AV358" s="13" t="s">
        <v>89</v>
      </c>
      <c r="AW358" s="13" t="s">
        <v>36</v>
      </c>
      <c r="AX358" s="13" t="s">
        <v>81</v>
      </c>
      <c r="AY358" s="245" t="s">
        <v>130</v>
      </c>
    </row>
    <row r="359" s="14" customFormat="1">
      <c r="A359" s="14"/>
      <c r="B359" s="246"/>
      <c r="C359" s="247"/>
      <c r="D359" s="230" t="s">
        <v>142</v>
      </c>
      <c r="E359" s="248" t="s">
        <v>1</v>
      </c>
      <c r="F359" s="249" t="s">
        <v>403</v>
      </c>
      <c r="G359" s="247"/>
      <c r="H359" s="250">
        <v>997.83000000000004</v>
      </c>
      <c r="I359" s="251"/>
      <c r="J359" s="247"/>
      <c r="K359" s="247"/>
      <c r="L359" s="252"/>
      <c r="M359" s="253"/>
      <c r="N359" s="254"/>
      <c r="O359" s="254"/>
      <c r="P359" s="254"/>
      <c r="Q359" s="254"/>
      <c r="R359" s="254"/>
      <c r="S359" s="254"/>
      <c r="T359" s="255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T359" s="256" t="s">
        <v>142</v>
      </c>
      <c r="AU359" s="256" t="s">
        <v>89</v>
      </c>
      <c r="AV359" s="14" t="s">
        <v>91</v>
      </c>
      <c r="AW359" s="14" t="s">
        <v>36</v>
      </c>
      <c r="AX359" s="14" t="s">
        <v>89</v>
      </c>
      <c r="AY359" s="256" t="s">
        <v>130</v>
      </c>
    </row>
    <row r="360" s="2" customFormat="1" ht="16.5" customHeight="1">
      <c r="A360" s="37"/>
      <c r="B360" s="38"/>
      <c r="C360" s="217" t="s">
        <v>404</v>
      </c>
      <c r="D360" s="217" t="s">
        <v>132</v>
      </c>
      <c r="E360" s="218" t="s">
        <v>399</v>
      </c>
      <c r="F360" s="219" t="s">
        <v>400</v>
      </c>
      <c r="G360" s="220" t="s">
        <v>240</v>
      </c>
      <c r="H360" s="221">
        <v>1.3</v>
      </c>
      <c r="I360" s="222"/>
      <c r="J360" s="223">
        <f>ROUND(I360*H360,2)</f>
        <v>0</v>
      </c>
      <c r="K360" s="219" t="s">
        <v>136</v>
      </c>
      <c r="L360" s="43"/>
      <c r="M360" s="224" t="s">
        <v>1</v>
      </c>
      <c r="N360" s="225" t="s">
        <v>46</v>
      </c>
      <c r="O360" s="90"/>
      <c r="P360" s="226">
        <f>O360*H360</f>
        <v>0</v>
      </c>
      <c r="Q360" s="226">
        <v>0</v>
      </c>
      <c r="R360" s="226">
        <f>Q360*H360</f>
        <v>0</v>
      </c>
      <c r="S360" s="226">
        <v>0</v>
      </c>
      <c r="T360" s="227">
        <f>S360*H360</f>
        <v>0</v>
      </c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R360" s="228" t="s">
        <v>241</v>
      </c>
      <c r="AT360" s="228" t="s">
        <v>132</v>
      </c>
      <c r="AU360" s="228" t="s">
        <v>89</v>
      </c>
      <c r="AY360" s="16" t="s">
        <v>130</v>
      </c>
      <c r="BE360" s="229">
        <f>IF(N360="základní",J360,0)</f>
        <v>0</v>
      </c>
      <c r="BF360" s="229">
        <f>IF(N360="snížená",J360,0)</f>
        <v>0</v>
      </c>
      <c r="BG360" s="229">
        <f>IF(N360="zákl. přenesená",J360,0)</f>
        <v>0</v>
      </c>
      <c r="BH360" s="229">
        <f>IF(N360="sníž. přenesená",J360,0)</f>
        <v>0</v>
      </c>
      <c r="BI360" s="229">
        <f>IF(N360="nulová",J360,0)</f>
        <v>0</v>
      </c>
      <c r="BJ360" s="16" t="s">
        <v>89</v>
      </c>
      <c r="BK360" s="229">
        <f>ROUND(I360*H360,2)</f>
        <v>0</v>
      </c>
      <c r="BL360" s="16" t="s">
        <v>241</v>
      </c>
      <c r="BM360" s="228" t="s">
        <v>405</v>
      </c>
    </row>
    <row r="361" s="2" customFormat="1">
      <c r="A361" s="37"/>
      <c r="B361" s="38"/>
      <c r="C361" s="39"/>
      <c r="D361" s="230" t="s">
        <v>139</v>
      </c>
      <c r="E361" s="39"/>
      <c r="F361" s="231" t="s">
        <v>400</v>
      </c>
      <c r="G361" s="39"/>
      <c r="H361" s="39"/>
      <c r="I361" s="232"/>
      <c r="J361" s="39"/>
      <c r="K361" s="39"/>
      <c r="L361" s="43"/>
      <c r="M361" s="233"/>
      <c r="N361" s="234"/>
      <c r="O361" s="90"/>
      <c r="P361" s="90"/>
      <c r="Q361" s="90"/>
      <c r="R361" s="90"/>
      <c r="S361" s="90"/>
      <c r="T361" s="91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T361" s="16" t="s">
        <v>139</v>
      </c>
      <c r="AU361" s="16" t="s">
        <v>89</v>
      </c>
    </row>
    <row r="362" s="2" customFormat="1">
      <c r="A362" s="37"/>
      <c r="B362" s="38"/>
      <c r="C362" s="39"/>
      <c r="D362" s="230" t="s">
        <v>140</v>
      </c>
      <c r="E362" s="39"/>
      <c r="F362" s="235" t="s">
        <v>243</v>
      </c>
      <c r="G362" s="39"/>
      <c r="H362" s="39"/>
      <c r="I362" s="232"/>
      <c r="J362" s="39"/>
      <c r="K362" s="39"/>
      <c r="L362" s="43"/>
      <c r="M362" s="233"/>
      <c r="N362" s="234"/>
      <c r="O362" s="90"/>
      <c r="P362" s="90"/>
      <c r="Q362" s="90"/>
      <c r="R362" s="90"/>
      <c r="S362" s="90"/>
      <c r="T362" s="91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T362" s="16" t="s">
        <v>140</v>
      </c>
      <c r="AU362" s="16" t="s">
        <v>89</v>
      </c>
    </row>
    <row r="363" s="13" customFormat="1">
      <c r="A363" s="13"/>
      <c r="B363" s="236"/>
      <c r="C363" s="237"/>
      <c r="D363" s="230" t="s">
        <v>142</v>
      </c>
      <c r="E363" s="238" t="s">
        <v>1</v>
      </c>
      <c r="F363" s="239" t="s">
        <v>406</v>
      </c>
      <c r="G363" s="237"/>
      <c r="H363" s="238" t="s">
        <v>1</v>
      </c>
      <c r="I363" s="240"/>
      <c r="J363" s="237"/>
      <c r="K363" s="237"/>
      <c r="L363" s="241"/>
      <c r="M363" s="242"/>
      <c r="N363" s="243"/>
      <c r="O363" s="243"/>
      <c r="P363" s="243"/>
      <c r="Q363" s="243"/>
      <c r="R363" s="243"/>
      <c r="S363" s="243"/>
      <c r="T363" s="244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T363" s="245" t="s">
        <v>142</v>
      </c>
      <c r="AU363" s="245" t="s">
        <v>89</v>
      </c>
      <c r="AV363" s="13" t="s">
        <v>89</v>
      </c>
      <c r="AW363" s="13" t="s">
        <v>36</v>
      </c>
      <c r="AX363" s="13" t="s">
        <v>81</v>
      </c>
      <c r="AY363" s="245" t="s">
        <v>130</v>
      </c>
    </row>
    <row r="364" s="13" customFormat="1">
      <c r="A364" s="13"/>
      <c r="B364" s="236"/>
      <c r="C364" s="237"/>
      <c r="D364" s="230" t="s">
        <v>142</v>
      </c>
      <c r="E364" s="238" t="s">
        <v>1</v>
      </c>
      <c r="F364" s="239" t="s">
        <v>407</v>
      </c>
      <c r="G364" s="237"/>
      <c r="H364" s="238" t="s">
        <v>1</v>
      </c>
      <c r="I364" s="240"/>
      <c r="J364" s="237"/>
      <c r="K364" s="237"/>
      <c r="L364" s="241"/>
      <c r="M364" s="242"/>
      <c r="N364" s="243"/>
      <c r="O364" s="243"/>
      <c r="P364" s="243"/>
      <c r="Q364" s="243"/>
      <c r="R364" s="243"/>
      <c r="S364" s="243"/>
      <c r="T364" s="244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T364" s="245" t="s">
        <v>142</v>
      </c>
      <c r="AU364" s="245" t="s">
        <v>89</v>
      </c>
      <c r="AV364" s="13" t="s">
        <v>89</v>
      </c>
      <c r="AW364" s="13" t="s">
        <v>36</v>
      </c>
      <c r="AX364" s="13" t="s">
        <v>81</v>
      </c>
      <c r="AY364" s="245" t="s">
        <v>130</v>
      </c>
    </row>
    <row r="365" s="13" customFormat="1">
      <c r="A365" s="13"/>
      <c r="B365" s="236"/>
      <c r="C365" s="237"/>
      <c r="D365" s="230" t="s">
        <v>142</v>
      </c>
      <c r="E365" s="238" t="s">
        <v>1</v>
      </c>
      <c r="F365" s="239" t="s">
        <v>408</v>
      </c>
      <c r="G365" s="237"/>
      <c r="H365" s="238" t="s">
        <v>1</v>
      </c>
      <c r="I365" s="240"/>
      <c r="J365" s="237"/>
      <c r="K365" s="237"/>
      <c r="L365" s="241"/>
      <c r="M365" s="242"/>
      <c r="N365" s="243"/>
      <c r="O365" s="243"/>
      <c r="P365" s="243"/>
      <c r="Q365" s="243"/>
      <c r="R365" s="243"/>
      <c r="S365" s="243"/>
      <c r="T365" s="244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T365" s="245" t="s">
        <v>142</v>
      </c>
      <c r="AU365" s="245" t="s">
        <v>89</v>
      </c>
      <c r="AV365" s="13" t="s">
        <v>89</v>
      </c>
      <c r="AW365" s="13" t="s">
        <v>36</v>
      </c>
      <c r="AX365" s="13" t="s">
        <v>81</v>
      </c>
      <c r="AY365" s="245" t="s">
        <v>130</v>
      </c>
    </row>
    <row r="366" s="14" customFormat="1">
      <c r="A366" s="14"/>
      <c r="B366" s="246"/>
      <c r="C366" s="247"/>
      <c r="D366" s="230" t="s">
        <v>142</v>
      </c>
      <c r="E366" s="248" t="s">
        <v>1</v>
      </c>
      <c r="F366" s="249" t="s">
        <v>409</v>
      </c>
      <c r="G366" s="247"/>
      <c r="H366" s="250">
        <v>1.3</v>
      </c>
      <c r="I366" s="251"/>
      <c r="J366" s="247"/>
      <c r="K366" s="247"/>
      <c r="L366" s="252"/>
      <c r="M366" s="253"/>
      <c r="N366" s="254"/>
      <c r="O366" s="254"/>
      <c r="P366" s="254"/>
      <c r="Q366" s="254"/>
      <c r="R366" s="254"/>
      <c r="S366" s="254"/>
      <c r="T366" s="255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T366" s="256" t="s">
        <v>142</v>
      </c>
      <c r="AU366" s="256" t="s">
        <v>89</v>
      </c>
      <c r="AV366" s="14" t="s">
        <v>91</v>
      </c>
      <c r="AW366" s="14" t="s">
        <v>36</v>
      </c>
      <c r="AX366" s="14" t="s">
        <v>89</v>
      </c>
      <c r="AY366" s="256" t="s">
        <v>130</v>
      </c>
    </row>
    <row r="367" s="2" customFormat="1" ht="24.15" customHeight="1">
      <c r="A367" s="37"/>
      <c r="B367" s="38"/>
      <c r="C367" s="217" t="s">
        <v>237</v>
      </c>
      <c r="D367" s="217" t="s">
        <v>132</v>
      </c>
      <c r="E367" s="218" t="s">
        <v>238</v>
      </c>
      <c r="F367" s="219" t="s">
        <v>239</v>
      </c>
      <c r="G367" s="220" t="s">
        <v>240</v>
      </c>
      <c r="H367" s="221">
        <v>228.06</v>
      </c>
      <c r="I367" s="222"/>
      <c r="J367" s="223">
        <f>ROUND(I367*H367,2)</f>
        <v>0</v>
      </c>
      <c r="K367" s="219" t="s">
        <v>136</v>
      </c>
      <c r="L367" s="43"/>
      <c r="M367" s="224" t="s">
        <v>1</v>
      </c>
      <c r="N367" s="225" t="s">
        <v>46</v>
      </c>
      <c r="O367" s="90"/>
      <c r="P367" s="226">
        <f>O367*H367</f>
        <v>0</v>
      </c>
      <c r="Q367" s="226">
        <v>0</v>
      </c>
      <c r="R367" s="226">
        <f>Q367*H367</f>
        <v>0</v>
      </c>
      <c r="S367" s="226">
        <v>0</v>
      </c>
      <c r="T367" s="227">
        <f>S367*H367</f>
        <v>0</v>
      </c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R367" s="228" t="s">
        <v>241</v>
      </c>
      <c r="AT367" s="228" t="s">
        <v>132</v>
      </c>
      <c r="AU367" s="228" t="s">
        <v>89</v>
      </c>
      <c r="AY367" s="16" t="s">
        <v>130</v>
      </c>
      <c r="BE367" s="229">
        <f>IF(N367="základní",J367,0)</f>
        <v>0</v>
      </c>
      <c r="BF367" s="229">
        <f>IF(N367="snížená",J367,0)</f>
        <v>0</v>
      </c>
      <c r="BG367" s="229">
        <f>IF(N367="zákl. přenesená",J367,0)</f>
        <v>0</v>
      </c>
      <c r="BH367" s="229">
        <f>IF(N367="sníž. přenesená",J367,0)</f>
        <v>0</v>
      </c>
      <c r="BI367" s="229">
        <f>IF(N367="nulová",J367,0)</f>
        <v>0</v>
      </c>
      <c r="BJ367" s="16" t="s">
        <v>89</v>
      </c>
      <c r="BK367" s="229">
        <f>ROUND(I367*H367,2)</f>
        <v>0</v>
      </c>
      <c r="BL367" s="16" t="s">
        <v>241</v>
      </c>
      <c r="BM367" s="228" t="s">
        <v>242</v>
      </c>
    </row>
    <row r="368" s="2" customFormat="1">
      <c r="A368" s="37"/>
      <c r="B368" s="38"/>
      <c r="C368" s="39"/>
      <c r="D368" s="230" t="s">
        <v>139</v>
      </c>
      <c r="E368" s="39"/>
      <c r="F368" s="231" t="s">
        <v>239</v>
      </c>
      <c r="G368" s="39"/>
      <c r="H368" s="39"/>
      <c r="I368" s="232"/>
      <c r="J368" s="39"/>
      <c r="K368" s="39"/>
      <c r="L368" s="43"/>
      <c r="M368" s="233"/>
      <c r="N368" s="234"/>
      <c r="O368" s="90"/>
      <c r="P368" s="90"/>
      <c r="Q368" s="90"/>
      <c r="R368" s="90"/>
      <c r="S368" s="90"/>
      <c r="T368" s="91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T368" s="16" t="s">
        <v>139</v>
      </c>
      <c r="AU368" s="16" t="s">
        <v>89</v>
      </c>
    </row>
    <row r="369" s="2" customFormat="1">
      <c r="A369" s="37"/>
      <c r="B369" s="38"/>
      <c r="C369" s="39"/>
      <c r="D369" s="230" t="s">
        <v>140</v>
      </c>
      <c r="E369" s="39"/>
      <c r="F369" s="235" t="s">
        <v>243</v>
      </c>
      <c r="G369" s="39"/>
      <c r="H369" s="39"/>
      <c r="I369" s="232"/>
      <c r="J369" s="39"/>
      <c r="K369" s="39"/>
      <c r="L369" s="43"/>
      <c r="M369" s="233"/>
      <c r="N369" s="234"/>
      <c r="O369" s="90"/>
      <c r="P369" s="90"/>
      <c r="Q369" s="90"/>
      <c r="R369" s="90"/>
      <c r="S369" s="90"/>
      <c r="T369" s="91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T369" s="16" t="s">
        <v>140</v>
      </c>
      <c r="AU369" s="16" t="s">
        <v>89</v>
      </c>
    </row>
    <row r="370" s="13" customFormat="1">
      <c r="A370" s="13"/>
      <c r="B370" s="236"/>
      <c r="C370" s="237"/>
      <c r="D370" s="230" t="s">
        <v>142</v>
      </c>
      <c r="E370" s="238" t="s">
        <v>1</v>
      </c>
      <c r="F370" s="239" t="s">
        <v>244</v>
      </c>
      <c r="G370" s="237"/>
      <c r="H370" s="238" t="s">
        <v>1</v>
      </c>
      <c r="I370" s="240"/>
      <c r="J370" s="237"/>
      <c r="K370" s="237"/>
      <c r="L370" s="241"/>
      <c r="M370" s="242"/>
      <c r="N370" s="243"/>
      <c r="O370" s="243"/>
      <c r="P370" s="243"/>
      <c r="Q370" s="243"/>
      <c r="R370" s="243"/>
      <c r="S370" s="243"/>
      <c r="T370" s="244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T370" s="245" t="s">
        <v>142</v>
      </c>
      <c r="AU370" s="245" t="s">
        <v>89</v>
      </c>
      <c r="AV370" s="13" t="s">
        <v>89</v>
      </c>
      <c r="AW370" s="13" t="s">
        <v>36</v>
      </c>
      <c r="AX370" s="13" t="s">
        <v>81</v>
      </c>
      <c r="AY370" s="245" t="s">
        <v>130</v>
      </c>
    </row>
    <row r="371" s="13" customFormat="1">
      <c r="A371" s="13"/>
      <c r="B371" s="236"/>
      <c r="C371" s="237"/>
      <c r="D371" s="230" t="s">
        <v>142</v>
      </c>
      <c r="E371" s="238" t="s">
        <v>1</v>
      </c>
      <c r="F371" s="239" t="s">
        <v>410</v>
      </c>
      <c r="G371" s="237"/>
      <c r="H371" s="238" t="s">
        <v>1</v>
      </c>
      <c r="I371" s="240"/>
      <c r="J371" s="237"/>
      <c r="K371" s="237"/>
      <c r="L371" s="241"/>
      <c r="M371" s="242"/>
      <c r="N371" s="243"/>
      <c r="O371" s="243"/>
      <c r="P371" s="243"/>
      <c r="Q371" s="243"/>
      <c r="R371" s="243"/>
      <c r="S371" s="243"/>
      <c r="T371" s="244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T371" s="245" t="s">
        <v>142</v>
      </c>
      <c r="AU371" s="245" t="s">
        <v>89</v>
      </c>
      <c r="AV371" s="13" t="s">
        <v>89</v>
      </c>
      <c r="AW371" s="13" t="s">
        <v>36</v>
      </c>
      <c r="AX371" s="13" t="s">
        <v>81</v>
      </c>
      <c r="AY371" s="245" t="s">
        <v>130</v>
      </c>
    </row>
    <row r="372" s="13" customFormat="1">
      <c r="A372" s="13"/>
      <c r="B372" s="236"/>
      <c r="C372" s="237"/>
      <c r="D372" s="230" t="s">
        <v>142</v>
      </c>
      <c r="E372" s="238" t="s">
        <v>1</v>
      </c>
      <c r="F372" s="239" t="s">
        <v>246</v>
      </c>
      <c r="G372" s="237"/>
      <c r="H372" s="238" t="s">
        <v>1</v>
      </c>
      <c r="I372" s="240"/>
      <c r="J372" s="237"/>
      <c r="K372" s="237"/>
      <c r="L372" s="241"/>
      <c r="M372" s="242"/>
      <c r="N372" s="243"/>
      <c r="O372" s="243"/>
      <c r="P372" s="243"/>
      <c r="Q372" s="243"/>
      <c r="R372" s="243"/>
      <c r="S372" s="243"/>
      <c r="T372" s="244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T372" s="245" t="s">
        <v>142</v>
      </c>
      <c r="AU372" s="245" t="s">
        <v>89</v>
      </c>
      <c r="AV372" s="13" t="s">
        <v>89</v>
      </c>
      <c r="AW372" s="13" t="s">
        <v>36</v>
      </c>
      <c r="AX372" s="13" t="s">
        <v>81</v>
      </c>
      <c r="AY372" s="245" t="s">
        <v>130</v>
      </c>
    </row>
    <row r="373" s="13" customFormat="1">
      <c r="A373" s="13"/>
      <c r="B373" s="236"/>
      <c r="C373" s="237"/>
      <c r="D373" s="230" t="s">
        <v>142</v>
      </c>
      <c r="E373" s="238" t="s">
        <v>1</v>
      </c>
      <c r="F373" s="239" t="s">
        <v>247</v>
      </c>
      <c r="G373" s="237"/>
      <c r="H373" s="238" t="s">
        <v>1</v>
      </c>
      <c r="I373" s="240"/>
      <c r="J373" s="237"/>
      <c r="K373" s="237"/>
      <c r="L373" s="241"/>
      <c r="M373" s="242"/>
      <c r="N373" s="243"/>
      <c r="O373" s="243"/>
      <c r="P373" s="243"/>
      <c r="Q373" s="243"/>
      <c r="R373" s="243"/>
      <c r="S373" s="243"/>
      <c r="T373" s="244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T373" s="245" t="s">
        <v>142</v>
      </c>
      <c r="AU373" s="245" t="s">
        <v>89</v>
      </c>
      <c r="AV373" s="13" t="s">
        <v>89</v>
      </c>
      <c r="AW373" s="13" t="s">
        <v>36</v>
      </c>
      <c r="AX373" s="13" t="s">
        <v>81</v>
      </c>
      <c r="AY373" s="245" t="s">
        <v>130</v>
      </c>
    </row>
    <row r="374" s="13" customFormat="1">
      <c r="A374" s="13"/>
      <c r="B374" s="236"/>
      <c r="C374" s="237"/>
      <c r="D374" s="230" t="s">
        <v>142</v>
      </c>
      <c r="E374" s="238" t="s">
        <v>1</v>
      </c>
      <c r="F374" s="239" t="s">
        <v>322</v>
      </c>
      <c r="G374" s="237"/>
      <c r="H374" s="238" t="s">
        <v>1</v>
      </c>
      <c r="I374" s="240"/>
      <c r="J374" s="237"/>
      <c r="K374" s="237"/>
      <c r="L374" s="241"/>
      <c r="M374" s="242"/>
      <c r="N374" s="243"/>
      <c r="O374" s="243"/>
      <c r="P374" s="243"/>
      <c r="Q374" s="243"/>
      <c r="R374" s="243"/>
      <c r="S374" s="243"/>
      <c r="T374" s="244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T374" s="245" t="s">
        <v>142</v>
      </c>
      <c r="AU374" s="245" t="s">
        <v>89</v>
      </c>
      <c r="AV374" s="13" t="s">
        <v>89</v>
      </c>
      <c r="AW374" s="13" t="s">
        <v>36</v>
      </c>
      <c r="AX374" s="13" t="s">
        <v>81</v>
      </c>
      <c r="AY374" s="245" t="s">
        <v>130</v>
      </c>
    </row>
    <row r="375" s="13" customFormat="1">
      <c r="A375" s="13"/>
      <c r="B375" s="236"/>
      <c r="C375" s="237"/>
      <c r="D375" s="230" t="s">
        <v>142</v>
      </c>
      <c r="E375" s="238" t="s">
        <v>1</v>
      </c>
      <c r="F375" s="239" t="s">
        <v>249</v>
      </c>
      <c r="G375" s="237"/>
      <c r="H375" s="238" t="s">
        <v>1</v>
      </c>
      <c r="I375" s="240"/>
      <c r="J375" s="237"/>
      <c r="K375" s="237"/>
      <c r="L375" s="241"/>
      <c r="M375" s="242"/>
      <c r="N375" s="243"/>
      <c r="O375" s="243"/>
      <c r="P375" s="243"/>
      <c r="Q375" s="243"/>
      <c r="R375" s="243"/>
      <c r="S375" s="243"/>
      <c r="T375" s="244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T375" s="245" t="s">
        <v>142</v>
      </c>
      <c r="AU375" s="245" t="s">
        <v>89</v>
      </c>
      <c r="AV375" s="13" t="s">
        <v>89</v>
      </c>
      <c r="AW375" s="13" t="s">
        <v>36</v>
      </c>
      <c r="AX375" s="13" t="s">
        <v>81</v>
      </c>
      <c r="AY375" s="245" t="s">
        <v>130</v>
      </c>
    </row>
    <row r="376" s="13" customFormat="1">
      <c r="A376" s="13"/>
      <c r="B376" s="236"/>
      <c r="C376" s="237"/>
      <c r="D376" s="230" t="s">
        <v>142</v>
      </c>
      <c r="E376" s="238" t="s">
        <v>1</v>
      </c>
      <c r="F376" s="239" t="s">
        <v>247</v>
      </c>
      <c r="G376" s="237"/>
      <c r="H376" s="238" t="s">
        <v>1</v>
      </c>
      <c r="I376" s="240"/>
      <c r="J376" s="237"/>
      <c r="K376" s="237"/>
      <c r="L376" s="241"/>
      <c r="M376" s="242"/>
      <c r="N376" s="243"/>
      <c r="O376" s="243"/>
      <c r="P376" s="243"/>
      <c r="Q376" s="243"/>
      <c r="R376" s="243"/>
      <c r="S376" s="243"/>
      <c r="T376" s="244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T376" s="245" t="s">
        <v>142</v>
      </c>
      <c r="AU376" s="245" t="s">
        <v>89</v>
      </c>
      <c r="AV376" s="13" t="s">
        <v>89</v>
      </c>
      <c r="AW376" s="13" t="s">
        <v>36</v>
      </c>
      <c r="AX376" s="13" t="s">
        <v>81</v>
      </c>
      <c r="AY376" s="245" t="s">
        <v>130</v>
      </c>
    </row>
    <row r="377" s="14" customFormat="1">
      <c r="A377" s="14"/>
      <c r="B377" s="246"/>
      <c r="C377" s="247"/>
      <c r="D377" s="230" t="s">
        <v>142</v>
      </c>
      <c r="E377" s="248" t="s">
        <v>1</v>
      </c>
      <c r="F377" s="249" t="s">
        <v>411</v>
      </c>
      <c r="G377" s="247"/>
      <c r="H377" s="250">
        <v>228.06</v>
      </c>
      <c r="I377" s="251"/>
      <c r="J377" s="247"/>
      <c r="K377" s="247"/>
      <c r="L377" s="252"/>
      <c r="M377" s="257"/>
      <c r="N377" s="258"/>
      <c r="O377" s="258"/>
      <c r="P377" s="258"/>
      <c r="Q377" s="258"/>
      <c r="R377" s="258"/>
      <c r="S377" s="258"/>
      <c r="T377" s="259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T377" s="256" t="s">
        <v>142</v>
      </c>
      <c r="AU377" s="256" t="s">
        <v>89</v>
      </c>
      <c r="AV377" s="14" t="s">
        <v>91</v>
      </c>
      <c r="AW377" s="14" t="s">
        <v>36</v>
      </c>
      <c r="AX377" s="14" t="s">
        <v>89</v>
      </c>
      <c r="AY377" s="256" t="s">
        <v>130</v>
      </c>
    </row>
    <row r="378" s="2" customFormat="1" ht="6.96" customHeight="1">
      <c r="A378" s="37"/>
      <c r="B378" s="65"/>
      <c r="C378" s="66"/>
      <c r="D378" s="66"/>
      <c r="E378" s="66"/>
      <c r="F378" s="66"/>
      <c r="G378" s="66"/>
      <c r="H378" s="66"/>
      <c r="I378" s="66"/>
      <c r="J378" s="66"/>
      <c r="K378" s="66"/>
      <c r="L378" s="43"/>
      <c r="M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</row>
  </sheetData>
  <sheetProtection sheet="1" autoFilter="0" formatColumns="0" formatRows="0" objects="1" scenarios="1" spinCount="100000" saltValue="YnKIYpoeTRwSDpAvNF8+Y2YWbBz5CVh38ZfbkOh4R91D5LzJ90botu0YN5lleksoM1EasUIL7/O5C7vF5bqWXQ==" hashValue="glOcqJMmITyHwntRKcjKerKLrawsE9mLYwUg0eOIbdfy2h7cJ3lUAYUZ5OjjJbUoDN0WdlRMmJwxe0tx8+9hfg==" algorithmName="SHA-512" password="C724"/>
  <autoFilter ref="C121:K377"/>
  <mergeCells count="9">
    <mergeCell ref="E7:H7"/>
    <mergeCell ref="E9:H9"/>
    <mergeCell ref="E18:H18"/>
    <mergeCell ref="E27:H27"/>
    <mergeCell ref="E85:H85"/>
    <mergeCell ref="E87:H87"/>
    <mergeCell ref="E112:H112"/>
    <mergeCell ref="E114:H114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97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III/0236 Dobšice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412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17. 11. 2024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ROUND(J118,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ROUND((SUM(BE118:BE220)),  2)</f>
        <v>0</v>
      </c>
      <c r="G33" s="37"/>
      <c r="H33" s="37"/>
      <c r="I33" s="154">
        <v>0.20999999999999999</v>
      </c>
      <c r="J33" s="153">
        <f>ROUND(((SUM(BE118:BE220))*I33),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ROUND((SUM(BF118:BF220)),  2)</f>
        <v>0</v>
      </c>
      <c r="G34" s="37"/>
      <c r="H34" s="37"/>
      <c r="I34" s="154">
        <v>0.12</v>
      </c>
      <c r="J34" s="153">
        <f>ROUND(((SUM(BF118:BF220))*I34),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ROUND((SUM(BG118:BG220)),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ROUND((SUM(BH118:BH220)),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ROUND((SUM(BI118:BI220)),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III/0236 Dobšice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SO103 - DIO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Dobšice</v>
      </c>
      <c r="G89" s="39"/>
      <c r="H89" s="39"/>
      <c r="I89" s="31" t="s">
        <v>22</v>
      </c>
      <c r="J89" s="78" t="str">
        <f>IF(J12="","",J12)</f>
        <v>17. 11. 2024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J118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109</v>
      </c>
      <c r="E97" s="181"/>
      <c r="F97" s="181"/>
      <c r="G97" s="181"/>
      <c r="H97" s="181"/>
      <c r="I97" s="181"/>
      <c r="J97" s="182">
        <f>J119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113</v>
      </c>
      <c r="E98" s="187"/>
      <c r="F98" s="187"/>
      <c r="G98" s="187"/>
      <c r="H98" s="187"/>
      <c r="I98" s="187"/>
      <c r="J98" s="188">
        <f>J120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2" customFormat="1" ht="21.84" customHeight="1">
      <c r="A99" s="37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62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0" s="2" customFormat="1" ht="6.96" customHeight="1">
      <c r="A100" s="37"/>
      <c r="B100" s="65"/>
      <c r="C100" s="66"/>
      <c r="D100" s="66"/>
      <c r="E100" s="66"/>
      <c r="F100" s="66"/>
      <c r="G100" s="66"/>
      <c r="H100" s="66"/>
      <c r="I100" s="66"/>
      <c r="J100" s="66"/>
      <c r="K100" s="66"/>
      <c r="L100" s="62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</row>
    <row r="104" s="2" customFormat="1" ht="6.96" customHeight="1">
      <c r="A104" s="37"/>
      <c r="B104" s="67"/>
      <c r="C104" s="68"/>
      <c r="D104" s="68"/>
      <c r="E104" s="68"/>
      <c r="F104" s="68"/>
      <c r="G104" s="68"/>
      <c r="H104" s="68"/>
      <c r="I104" s="68"/>
      <c r="J104" s="68"/>
      <c r="K104" s="68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 s="2" customFormat="1" ht="24.96" customHeight="1">
      <c r="A105" s="37"/>
      <c r="B105" s="38"/>
      <c r="C105" s="22" t="s">
        <v>115</v>
      </c>
      <c r="D105" s="39"/>
      <c r="E105" s="39"/>
      <c r="F105" s="39"/>
      <c r="G105" s="39"/>
      <c r="H105" s="39"/>
      <c r="I105" s="39"/>
      <c r="J105" s="39"/>
      <c r="K105" s="39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6.96" customHeight="1">
      <c r="A106" s="37"/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="2" customFormat="1" ht="12" customHeight="1">
      <c r="A107" s="37"/>
      <c r="B107" s="38"/>
      <c r="C107" s="31" t="s">
        <v>16</v>
      </c>
      <c r="D107" s="39"/>
      <c r="E107" s="39"/>
      <c r="F107" s="39"/>
      <c r="G107" s="39"/>
      <c r="H107" s="39"/>
      <c r="I107" s="39"/>
      <c r="J107" s="39"/>
      <c r="K107" s="39"/>
      <c r="L107" s="62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="2" customFormat="1" ht="16.5" customHeight="1">
      <c r="A108" s="37"/>
      <c r="B108" s="38"/>
      <c r="C108" s="39"/>
      <c r="D108" s="39"/>
      <c r="E108" s="173" t="str">
        <f>E7</f>
        <v>Oprava silnice III/0236 Dobšice</v>
      </c>
      <c r="F108" s="31"/>
      <c r="G108" s="31"/>
      <c r="H108" s="31"/>
      <c r="I108" s="39"/>
      <c r="J108" s="39"/>
      <c r="K108" s="39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12" customHeight="1">
      <c r="A109" s="37"/>
      <c r="B109" s="38"/>
      <c r="C109" s="31" t="s">
        <v>102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16.5" customHeight="1">
      <c r="A110" s="37"/>
      <c r="B110" s="38"/>
      <c r="C110" s="39"/>
      <c r="D110" s="39"/>
      <c r="E110" s="75" t="str">
        <f>E9</f>
        <v>SO103 - DIO</v>
      </c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6.96" customHeight="1">
      <c r="A111" s="37"/>
      <c r="B111" s="38"/>
      <c r="C111" s="39"/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2" customHeight="1">
      <c r="A112" s="37"/>
      <c r="B112" s="38"/>
      <c r="C112" s="31" t="s">
        <v>20</v>
      </c>
      <c r="D112" s="39"/>
      <c r="E112" s="39"/>
      <c r="F112" s="26" t="str">
        <f>F12</f>
        <v>Dobšice</v>
      </c>
      <c r="G112" s="39"/>
      <c r="H112" s="39"/>
      <c r="I112" s="31" t="s">
        <v>22</v>
      </c>
      <c r="J112" s="78" t="str">
        <f>IF(J12="","",J12)</f>
        <v>17. 11. 2024</v>
      </c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6.96" customHeight="1">
      <c r="A113" s="37"/>
      <c r="B113" s="38"/>
      <c r="C113" s="39"/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40.05" customHeight="1">
      <c r="A114" s="37"/>
      <c r="B114" s="38"/>
      <c r="C114" s="31" t="s">
        <v>24</v>
      </c>
      <c r="D114" s="39"/>
      <c r="E114" s="39"/>
      <c r="F114" s="26" t="str">
        <f>E15</f>
        <v>Jihočeský kraj</v>
      </c>
      <c r="G114" s="39"/>
      <c r="H114" s="39"/>
      <c r="I114" s="31" t="s">
        <v>32</v>
      </c>
      <c r="J114" s="35" t="str">
        <f>E21</f>
        <v>Správa a údržba silnic Jihočeského kraje p.o.</v>
      </c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25.65" customHeight="1">
      <c r="A115" s="37"/>
      <c r="B115" s="38"/>
      <c r="C115" s="31" t="s">
        <v>30</v>
      </c>
      <c r="D115" s="39"/>
      <c r="E115" s="39"/>
      <c r="F115" s="26" t="str">
        <f>IF(E18="","",E18)</f>
        <v>Vyplň údaj</v>
      </c>
      <c r="G115" s="39"/>
      <c r="H115" s="39"/>
      <c r="I115" s="31" t="s">
        <v>37</v>
      </c>
      <c r="J115" s="35" t="str">
        <f>E24</f>
        <v>Petr Nachtigal 606 633 836</v>
      </c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0.32" customHeight="1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11" customFormat="1" ht="29.28" customHeight="1">
      <c r="A117" s="190"/>
      <c r="B117" s="191"/>
      <c r="C117" s="192" t="s">
        <v>116</v>
      </c>
      <c r="D117" s="193" t="s">
        <v>66</v>
      </c>
      <c r="E117" s="193" t="s">
        <v>62</v>
      </c>
      <c r="F117" s="193" t="s">
        <v>63</v>
      </c>
      <c r="G117" s="193" t="s">
        <v>117</v>
      </c>
      <c r="H117" s="193" t="s">
        <v>118</v>
      </c>
      <c r="I117" s="193" t="s">
        <v>119</v>
      </c>
      <c r="J117" s="193" t="s">
        <v>106</v>
      </c>
      <c r="K117" s="194" t="s">
        <v>120</v>
      </c>
      <c r="L117" s="195"/>
      <c r="M117" s="99" t="s">
        <v>1</v>
      </c>
      <c r="N117" s="100" t="s">
        <v>45</v>
      </c>
      <c r="O117" s="100" t="s">
        <v>121</v>
      </c>
      <c r="P117" s="100" t="s">
        <v>122</v>
      </c>
      <c r="Q117" s="100" t="s">
        <v>123</v>
      </c>
      <c r="R117" s="100" t="s">
        <v>124</v>
      </c>
      <c r="S117" s="100" t="s">
        <v>125</v>
      </c>
      <c r="T117" s="101" t="s">
        <v>126</v>
      </c>
      <c r="U117" s="190"/>
      <c r="V117" s="190"/>
      <c r="W117" s="190"/>
      <c r="X117" s="190"/>
      <c r="Y117" s="190"/>
      <c r="Z117" s="190"/>
      <c r="AA117" s="190"/>
      <c r="AB117" s="190"/>
      <c r="AC117" s="190"/>
      <c r="AD117" s="190"/>
      <c r="AE117" s="190"/>
    </row>
    <row r="118" s="2" customFormat="1" ht="22.8" customHeight="1">
      <c r="A118" s="37"/>
      <c r="B118" s="38"/>
      <c r="C118" s="106" t="s">
        <v>127</v>
      </c>
      <c r="D118" s="39"/>
      <c r="E118" s="39"/>
      <c r="F118" s="39"/>
      <c r="G118" s="39"/>
      <c r="H118" s="39"/>
      <c r="I118" s="39"/>
      <c r="J118" s="196">
        <f>BK118</f>
        <v>0</v>
      </c>
      <c r="K118" s="39"/>
      <c r="L118" s="43"/>
      <c r="M118" s="102"/>
      <c r="N118" s="197"/>
      <c r="O118" s="103"/>
      <c r="P118" s="198">
        <f>P119</f>
        <v>0</v>
      </c>
      <c r="Q118" s="103"/>
      <c r="R118" s="198">
        <f>R119</f>
        <v>0</v>
      </c>
      <c r="S118" s="103"/>
      <c r="T118" s="199">
        <f>T119</f>
        <v>0</v>
      </c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T118" s="16" t="s">
        <v>80</v>
      </c>
      <c r="AU118" s="16" t="s">
        <v>108</v>
      </c>
      <c r="BK118" s="200">
        <f>BK119</f>
        <v>0</v>
      </c>
    </row>
    <row r="119" s="12" customFormat="1" ht="25.92" customHeight="1">
      <c r="A119" s="12"/>
      <c r="B119" s="201"/>
      <c r="C119" s="202"/>
      <c r="D119" s="203" t="s">
        <v>80</v>
      </c>
      <c r="E119" s="204" t="s">
        <v>128</v>
      </c>
      <c r="F119" s="204" t="s">
        <v>129</v>
      </c>
      <c r="G119" s="202"/>
      <c r="H119" s="202"/>
      <c r="I119" s="205"/>
      <c r="J119" s="206">
        <f>BK119</f>
        <v>0</v>
      </c>
      <c r="K119" s="202"/>
      <c r="L119" s="207"/>
      <c r="M119" s="208"/>
      <c r="N119" s="209"/>
      <c r="O119" s="209"/>
      <c r="P119" s="210">
        <f>P120</f>
        <v>0</v>
      </c>
      <c r="Q119" s="209"/>
      <c r="R119" s="210">
        <f>R120</f>
        <v>0</v>
      </c>
      <c r="S119" s="209"/>
      <c r="T119" s="211">
        <f>T120</f>
        <v>0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R119" s="212" t="s">
        <v>89</v>
      </c>
      <c r="AT119" s="213" t="s">
        <v>80</v>
      </c>
      <c r="AU119" s="213" t="s">
        <v>81</v>
      </c>
      <c r="AY119" s="212" t="s">
        <v>130</v>
      </c>
      <c r="BK119" s="214">
        <f>BK120</f>
        <v>0</v>
      </c>
    </row>
    <row r="120" s="12" customFormat="1" ht="22.8" customHeight="1">
      <c r="A120" s="12"/>
      <c r="B120" s="201"/>
      <c r="C120" s="202"/>
      <c r="D120" s="203" t="s">
        <v>80</v>
      </c>
      <c r="E120" s="215" t="s">
        <v>219</v>
      </c>
      <c r="F120" s="215" t="s">
        <v>220</v>
      </c>
      <c r="G120" s="202"/>
      <c r="H120" s="202"/>
      <c r="I120" s="205"/>
      <c r="J120" s="216">
        <f>BK120</f>
        <v>0</v>
      </c>
      <c r="K120" s="202"/>
      <c r="L120" s="207"/>
      <c r="M120" s="208"/>
      <c r="N120" s="209"/>
      <c r="O120" s="209"/>
      <c r="P120" s="210">
        <f>SUM(P121:P220)</f>
        <v>0</v>
      </c>
      <c r="Q120" s="209"/>
      <c r="R120" s="210">
        <f>SUM(R121:R220)</f>
        <v>0</v>
      </c>
      <c r="S120" s="209"/>
      <c r="T120" s="211">
        <f>SUM(T121:T220)</f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R120" s="212" t="s">
        <v>89</v>
      </c>
      <c r="AT120" s="213" t="s">
        <v>80</v>
      </c>
      <c r="AU120" s="213" t="s">
        <v>89</v>
      </c>
      <c r="AY120" s="212" t="s">
        <v>130</v>
      </c>
      <c r="BK120" s="214">
        <f>SUM(BK121:BK220)</f>
        <v>0</v>
      </c>
    </row>
    <row r="121" s="2" customFormat="1" ht="33" customHeight="1">
      <c r="A121" s="37"/>
      <c r="B121" s="38"/>
      <c r="C121" s="217" t="s">
        <v>89</v>
      </c>
      <c r="D121" s="217" t="s">
        <v>132</v>
      </c>
      <c r="E121" s="218" t="s">
        <v>413</v>
      </c>
      <c r="F121" s="219" t="s">
        <v>414</v>
      </c>
      <c r="G121" s="220" t="s">
        <v>224</v>
      </c>
      <c r="H121" s="221">
        <v>45</v>
      </c>
      <c r="I121" s="222"/>
      <c r="J121" s="223">
        <f>ROUND(I121*H121,2)</f>
        <v>0</v>
      </c>
      <c r="K121" s="219" t="s">
        <v>136</v>
      </c>
      <c r="L121" s="43"/>
      <c r="M121" s="224" t="s">
        <v>1</v>
      </c>
      <c r="N121" s="225" t="s">
        <v>46</v>
      </c>
      <c r="O121" s="90"/>
      <c r="P121" s="226">
        <f>O121*H121</f>
        <v>0</v>
      </c>
      <c r="Q121" s="226">
        <v>0</v>
      </c>
      <c r="R121" s="226">
        <f>Q121*H121</f>
        <v>0</v>
      </c>
      <c r="S121" s="226">
        <v>0</v>
      </c>
      <c r="T121" s="227">
        <f>S121*H121</f>
        <v>0</v>
      </c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R121" s="228" t="s">
        <v>137</v>
      </c>
      <c r="AT121" s="228" t="s">
        <v>132</v>
      </c>
      <c r="AU121" s="228" t="s">
        <v>91</v>
      </c>
      <c r="AY121" s="16" t="s">
        <v>130</v>
      </c>
      <c r="BE121" s="229">
        <f>IF(N121="základní",J121,0)</f>
        <v>0</v>
      </c>
      <c r="BF121" s="229">
        <f>IF(N121="snížená",J121,0)</f>
        <v>0</v>
      </c>
      <c r="BG121" s="229">
        <f>IF(N121="zákl. přenesená",J121,0)</f>
        <v>0</v>
      </c>
      <c r="BH121" s="229">
        <f>IF(N121="sníž. přenesená",J121,0)</f>
        <v>0</v>
      </c>
      <c r="BI121" s="229">
        <f>IF(N121="nulová",J121,0)</f>
        <v>0</v>
      </c>
      <c r="BJ121" s="16" t="s">
        <v>89</v>
      </c>
      <c r="BK121" s="229">
        <f>ROUND(I121*H121,2)</f>
        <v>0</v>
      </c>
      <c r="BL121" s="16" t="s">
        <v>137</v>
      </c>
      <c r="BM121" s="228" t="s">
        <v>415</v>
      </c>
    </row>
    <row r="122" s="2" customFormat="1">
      <c r="A122" s="37"/>
      <c r="B122" s="38"/>
      <c r="C122" s="39"/>
      <c r="D122" s="230" t="s">
        <v>139</v>
      </c>
      <c r="E122" s="39"/>
      <c r="F122" s="231" t="s">
        <v>414</v>
      </c>
      <c r="G122" s="39"/>
      <c r="H122" s="39"/>
      <c r="I122" s="232"/>
      <c r="J122" s="39"/>
      <c r="K122" s="39"/>
      <c r="L122" s="43"/>
      <c r="M122" s="233"/>
      <c r="N122" s="234"/>
      <c r="O122" s="90"/>
      <c r="P122" s="90"/>
      <c r="Q122" s="90"/>
      <c r="R122" s="90"/>
      <c r="S122" s="90"/>
      <c r="T122" s="91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T122" s="16" t="s">
        <v>139</v>
      </c>
      <c r="AU122" s="16" t="s">
        <v>91</v>
      </c>
    </row>
    <row r="123" s="2" customFormat="1">
      <c r="A123" s="37"/>
      <c r="B123" s="38"/>
      <c r="C123" s="39"/>
      <c r="D123" s="230" t="s">
        <v>140</v>
      </c>
      <c r="E123" s="39"/>
      <c r="F123" s="235" t="s">
        <v>416</v>
      </c>
      <c r="G123" s="39"/>
      <c r="H123" s="39"/>
      <c r="I123" s="232"/>
      <c r="J123" s="39"/>
      <c r="K123" s="39"/>
      <c r="L123" s="43"/>
      <c r="M123" s="233"/>
      <c r="N123" s="234"/>
      <c r="O123" s="90"/>
      <c r="P123" s="90"/>
      <c r="Q123" s="90"/>
      <c r="R123" s="90"/>
      <c r="S123" s="90"/>
      <c r="T123" s="91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T123" s="16" t="s">
        <v>140</v>
      </c>
      <c r="AU123" s="16" t="s">
        <v>91</v>
      </c>
    </row>
    <row r="124" s="13" customFormat="1">
      <c r="A124" s="13"/>
      <c r="B124" s="236"/>
      <c r="C124" s="237"/>
      <c r="D124" s="230" t="s">
        <v>142</v>
      </c>
      <c r="E124" s="238" t="s">
        <v>1</v>
      </c>
      <c r="F124" s="239" t="s">
        <v>417</v>
      </c>
      <c r="G124" s="237"/>
      <c r="H124" s="238" t="s">
        <v>1</v>
      </c>
      <c r="I124" s="240"/>
      <c r="J124" s="237"/>
      <c r="K124" s="237"/>
      <c r="L124" s="241"/>
      <c r="M124" s="242"/>
      <c r="N124" s="243"/>
      <c r="O124" s="243"/>
      <c r="P124" s="243"/>
      <c r="Q124" s="243"/>
      <c r="R124" s="243"/>
      <c r="S124" s="243"/>
      <c r="T124" s="244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T124" s="245" t="s">
        <v>142</v>
      </c>
      <c r="AU124" s="245" t="s">
        <v>91</v>
      </c>
      <c r="AV124" s="13" t="s">
        <v>89</v>
      </c>
      <c r="AW124" s="13" t="s">
        <v>36</v>
      </c>
      <c r="AX124" s="13" t="s">
        <v>81</v>
      </c>
      <c r="AY124" s="245" t="s">
        <v>130</v>
      </c>
    </row>
    <row r="125" s="14" customFormat="1">
      <c r="A125" s="14"/>
      <c r="B125" s="246"/>
      <c r="C125" s="247"/>
      <c r="D125" s="230" t="s">
        <v>142</v>
      </c>
      <c r="E125" s="248" t="s">
        <v>1</v>
      </c>
      <c r="F125" s="249" t="s">
        <v>404</v>
      </c>
      <c r="G125" s="247"/>
      <c r="H125" s="250">
        <v>45</v>
      </c>
      <c r="I125" s="251"/>
      <c r="J125" s="247"/>
      <c r="K125" s="247"/>
      <c r="L125" s="252"/>
      <c r="M125" s="253"/>
      <c r="N125" s="254"/>
      <c r="O125" s="254"/>
      <c r="P125" s="254"/>
      <c r="Q125" s="254"/>
      <c r="R125" s="254"/>
      <c r="S125" s="254"/>
      <c r="T125" s="255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T125" s="256" t="s">
        <v>142</v>
      </c>
      <c r="AU125" s="256" t="s">
        <v>91</v>
      </c>
      <c r="AV125" s="14" t="s">
        <v>91</v>
      </c>
      <c r="AW125" s="14" t="s">
        <v>36</v>
      </c>
      <c r="AX125" s="14" t="s">
        <v>89</v>
      </c>
      <c r="AY125" s="256" t="s">
        <v>130</v>
      </c>
    </row>
    <row r="126" s="2" customFormat="1" ht="24.15" customHeight="1">
      <c r="A126" s="37"/>
      <c r="B126" s="38"/>
      <c r="C126" s="217" t="s">
        <v>91</v>
      </c>
      <c r="D126" s="217" t="s">
        <v>132</v>
      </c>
      <c r="E126" s="218" t="s">
        <v>418</v>
      </c>
      <c r="F126" s="219" t="s">
        <v>419</v>
      </c>
      <c r="G126" s="220" t="s">
        <v>224</v>
      </c>
      <c r="H126" s="221">
        <v>45</v>
      </c>
      <c r="I126" s="222"/>
      <c r="J126" s="223">
        <f>ROUND(I126*H126,2)</f>
        <v>0</v>
      </c>
      <c r="K126" s="219" t="s">
        <v>136</v>
      </c>
      <c r="L126" s="43"/>
      <c r="M126" s="224" t="s">
        <v>1</v>
      </c>
      <c r="N126" s="225" t="s">
        <v>46</v>
      </c>
      <c r="O126" s="90"/>
      <c r="P126" s="226">
        <f>O126*H126</f>
        <v>0</v>
      </c>
      <c r="Q126" s="226">
        <v>0</v>
      </c>
      <c r="R126" s="226">
        <f>Q126*H126</f>
        <v>0</v>
      </c>
      <c r="S126" s="226">
        <v>0</v>
      </c>
      <c r="T126" s="227">
        <f>S126*H126</f>
        <v>0</v>
      </c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R126" s="228" t="s">
        <v>137</v>
      </c>
      <c r="AT126" s="228" t="s">
        <v>132</v>
      </c>
      <c r="AU126" s="228" t="s">
        <v>91</v>
      </c>
      <c r="AY126" s="16" t="s">
        <v>130</v>
      </c>
      <c r="BE126" s="229">
        <f>IF(N126="základní",J126,0)</f>
        <v>0</v>
      </c>
      <c r="BF126" s="229">
        <f>IF(N126="snížená",J126,0)</f>
        <v>0</v>
      </c>
      <c r="BG126" s="229">
        <f>IF(N126="zákl. přenesená",J126,0)</f>
        <v>0</v>
      </c>
      <c r="BH126" s="229">
        <f>IF(N126="sníž. přenesená",J126,0)</f>
        <v>0</v>
      </c>
      <c r="BI126" s="229">
        <f>IF(N126="nulová",J126,0)</f>
        <v>0</v>
      </c>
      <c r="BJ126" s="16" t="s">
        <v>89</v>
      </c>
      <c r="BK126" s="229">
        <f>ROUND(I126*H126,2)</f>
        <v>0</v>
      </c>
      <c r="BL126" s="16" t="s">
        <v>137</v>
      </c>
      <c r="BM126" s="228" t="s">
        <v>420</v>
      </c>
    </row>
    <row r="127" s="2" customFormat="1">
      <c r="A127" s="37"/>
      <c r="B127" s="38"/>
      <c r="C127" s="39"/>
      <c r="D127" s="230" t="s">
        <v>139</v>
      </c>
      <c r="E127" s="39"/>
      <c r="F127" s="231" t="s">
        <v>419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139</v>
      </c>
      <c r="AU127" s="16" t="s">
        <v>91</v>
      </c>
    </row>
    <row r="128" s="2" customFormat="1">
      <c r="A128" s="37"/>
      <c r="B128" s="38"/>
      <c r="C128" s="39"/>
      <c r="D128" s="230" t="s">
        <v>140</v>
      </c>
      <c r="E128" s="39"/>
      <c r="F128" s="235" t="s">
        <v>421</v>
      </c>
      <c r="G128" s="39"/>
      <c r="H128" s="39"/>
      <c r="I128" s="232"/>
      <c r="J128" s="39"/>
      <c r="K128" s="39"/>
      <c r="L128" s="43"/>
      <c r="M128" s="233"/>
      <c r="N128" s="234"/>
      <c r="O128" s="90"/>
      <c r="P128" s="90"/>
      <c r="Q128" s="90"/>
      <c r="R128" s="90"/>
      <c r="S128" s="90"/>
      <c r="T128" s="91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T128" s="16" t="s">
        <v>140</v>
      </c>
      <c r="AU128" s="16" t="s">
        <v>91</v>
      </c>
    </row>
    <row r="129" s="13" customFormat="1">
      <c r="A129" s="13"/>
      <c r="B129" s="236"/>
      <c r="C129" s="237"/>
      <c r="D129" s="230" t="s">
        <v>142</v>
      </c>
      <c r="E129" s="238" t="s">
        <v>1</v>
      </c>
      <c r="F129" s="239" t="s">
        <v>417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142</v>
      </c>
      <c r="AU129" s="245" t="s">
        <v>91</v>
      </c>
      <c r="AV129" s="13" t="s">
        <v>89</v>
      </c>
      <c r="AW129" s="13" t="s">
        <v>36</v>
      </c>
      <c r="AX129" s="13" t="s">
        <v>81</v>
      </c>
      <c r="AY129" s="245" t="s">
        <v>130</v>
      </c>
    </row>
    <row r="130" s="14" customFormat="1">
      <c r="A130" s="14"/>
      <c r="B130" s="246"/>
      <c r="C130" s="247"/>
      <c r="D130" s="230" t="s">
        <v>142</v>
      </c>
      <c r="E130" s="248" t="s">
        <v>1</v>
      </c>
      <c r="F130" s="249" t="s">
        <v>404</v>
      </c>
      <c r="G130" s="247"/>
      <c r="H130" s="250">
        <v>45</v>
      </c>
      <c r="I130" s="251"/>
      <c r="J130" s="247"/>
      <c r="K130" s="247"/>
      <c r="L130" s="252"/>
      <c r="M130" s="253"/>
      <c r="N130" s="254"/>
      <c r="O130" s="254"/>
      <c r="P130" s="254"/>
      <c r="Q130" s="254"/>
      <c r="R130" s="254"/>
      <c r="S130" s="254"/>
      <c r="T130" s="255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T130" s="256" t="s">
        <v>142</v>
      </c>
      <c r="AU130" s="256" t="s">
        <v>91</v>
      </c>
      <c r="AV130" s="14" t="s">
        <v>91</v>
      </c>
      <c r="AW130" s="14" t="s">
        <v>36</v>
      </c>
      <c r="AX130" s="14" t="s">
        <v>89</v>
      </c>
      <c r="AY130" s="256" t="s">
        <v>130</v>
      </c>
    </row>
    <row r="131" s="2" customFormat="1" ht="24.15" customHeight="1">
      <c r="A131" s="37"/>
      <c r="B131" s="38"/>
      <c r="C131" s="217" t="s">
        <v>422</v>
      </c>
      <c r="D131" s="217" t="s">
        <v>132</v>
      </c>
      <c r="E131" s="218" t="s">
        <v>423</v>
      </c>
      <c r="F131" s="219" t="s">
        <v>424</v>
      </c>
      <c r="G131" s="220" t="s">
        <v>425</v>
      </c>
      <c r="H131" s="221">
        <v>1125</v>
      </c>
      <c r="I131" s="222"/>
      <c r="J131" s="223">
        <f>ROUND(I131*H131,2)</f>
        <v>0</v>
      </c>
      <c r="K131" s="219" t="s">
        <v>136</v>
      </c>
      <c r="L131" s="43"/>
      <c r="M131" s="224" t="s">
        <v>1</v>
      </c>
      <c r="N131" s="225" t="s">
        <v>46</v>
      </c>
      <c r="O131" s="90"/>
      <c r="P131" s="226">
        <f>O131*H131</f>
        <v>0</v>
      </c>
      <c r="Q131" s="226">
        <v>0</v>
      </c>
      <c r="R131" s="226">
        <f>Q131*H131</f>
        <v>0</v>
      </c>
      <c r="S131" s="226">
        <v>0</v>
      </c>
      <c r="T131" s="227">
        <f>S131*H131</f>
        <v>0</v>
      </c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R131" s="228" t="s">
        <v>137</v>
      </c>
      <c r="AT131" s="228" t="s">
        <v>132</v>
      </c>
      <c r="AU131" s="228" t="s">
        <v>91</v>
      </c>
      <c r="AY131" s="16" t="s">
        <v>130</v>
      </c>
      <c r="BE131" s="229">
        <f>IF(N131="základní",J131,0)</f>
        <v>0</v>
      </c>
      <c r="BF131" s="229">
        <f>IF(N131="snížená",J131,0)</f>
        <v>0</v>
      </c>
      <c r="BG131" s="229">
        <f>IF(N131="zákl. přenesená",J131,0)</f>
        <v>0</v>
      </c>
      <c r="BH131" s="229">
        <f>IF(N131="sníž. přenesená",J131,0)</f>
        <v>0</v>
      </c>
      <c r="BI131" s="229">
        <f>IF(N131="nulová",J131,0)</f>
        <v>0</v>
      </c>
      <c r="BJ131" s="16" t="s">
        <v>89</v>
      </c>
      <c r="BK131" s="229">
        <f>ROUND(I131*H131,2)</f>
        <v>0</v>
      </c>
      <c r="BL131" s="16" t="s">
        <v>137</v>
      </c>
      <c r="BM131" s="228" t="s">
        <v>426</v>
      </c>
    </row>
    <row r="132" s="2" customFormat="1">
      <c r="A132" s="37"/>
      <c r="B132" s="38"/>
      <c r="C132" s="39"/>
      <c r="D132" s="230" t="s">
        <v>139</v>
      </c>
      <c r="E132" s="39"/>
      <c r="F132" s="231" t="s">
        <v>424</v>
      </c>
      <c r="G132" s="39"/>
      <c r="H132" s="39"/>
      <c r="I132" s="232"/>
      <c r="J132" s="39"/>
      <c r="K132" s="39"/>
      <c r="L132" s="43"/>
      <c r="M132" s="233"/>
      <c r="N132" s="234"/>
      <c r="O132" s="90"/>
      <c r="P132" s="90"/>
      <c r="Q132" s="90"/>
      <c r="R132" s="90"/>
      <c r="S132" s="90"/>
      <c r="T132" s="91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T132" s="16" t="s">
        <v>139</v>
      </c>
      <c r="AU132" s="16" t="s">
        <v>91</v>
      </c>
    </row>
    <row r="133" s="2" customFormat="1">
      <c r="A133" s="37"/>
      <c r="B133" s="38"/>
      <c r="C133" s="39"/>
      <c r="D133" s="230" t="s">
        <v>140</v>
      </c>
      <c r="E133" s="39"/>
      <c r="F133" s="235" t="s">
        <v>427</v>
      </c>
      <c r="G133" s="39"/>
      <c r="H133" s="39"/>
      <c r="I133" s="232"/>
      <c r="J133" s="39"/>
      <c r="K133" s="39"/>
      <c r="L133" s="43"/>
      <c r="M133" s="233"/>
      <c r="N133" s="234"/>
      <c r="O133" s="90"/>
      <c r="P133" s="90"/>
      <c r="Q133" s="90"/>
      <c r="R133" s="90"/>
      <c r="S133" s="90"/>
      <c r="T133" s="91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T133" s="16" t="s">
        <v>140</v>
      </c>
      <c r="AU133" s="16" t="s">
        <v>91</v>
      </c>
    </row>
    <row r="134" s="13" customFormat="1">
      <c r="A134" s="13"/>
      <c r="B134" s="236"/>
      <c r="C134" s="237"/>
      <c r="D134" s="230" t="s">
        <v>142</v>
      </c>
      <c r="E134" s="238" t="s">
        <v>1</v>
      </c>
      <c r="F134" s="239" t="s">
        <v>417</v>
      </c>
      <c r="G134" s="237"/>
      <c r="H134" s="238" t="s">
        <v>1</v>
      </c>
      <c r="I134" s="240"/>
      <c r="J134" s="237"/>
      <c r="K134" s="237"/>
      <c r="L134" s="241"/>
      <c r="M134" s="242"/>
      <c r="N134" s="243"/>
      <c r="O134" s="243"/>
      <c r="P134" s="243"/>
      <c r="Q134" s="243"/>
      <c r="R134" s="243"/>
      <c r="S134" s="243"/>
      <c r="T134" s="244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45" t="s">
        <v>142</v>
      </c>
      <c r="AU134" s="245" t="s">
        <v>91</v>
      </c>
      <c r="AV134" s="13" t="s">
        <v>89</v>
      </c>
      <c r="AW134" s="13" t="s">
        <v>36</v>
      </c>
      <c r="AX134" s="13" t="s">
        <v>81</v>
      </c>
      <c r="AY134" s="245" t="s">
        <v>130</v>
      </c>
    </row>
    <row r="135" s="13" customFormat="1">
      <c r="A135" s="13"/>
      <c r="B135" s="236"/>
      <c r="C135" s="237"/>
      <c r="D135" s="230" t="s">
        <v>142</v>
      </c>
      <c r="E135" s="238" t="s">
        <v>1</v>
      </c>
      <c r="F135" s="239" t="s">
        <v>428</v>
      </c>
      <c r="G135" s="237"/>
      <c r="H135" s="238" t="s">
        <v>1</v>
      </c>
      <c r="I135" s="240"/>
      <c r="J135" s="237"/>
      <c r="K135" s="237"/>
      <c r="L135" s="241"/>
      <c r="M135" s="242"/>
      <c r="N135" s="243"/>
      <c r="O135" s="243"/>
      <c r="P135" s="243"/>
      <c r="Q135" s="243"/>
      <c r="R135" s="243"/>
      <c r="S135" s="243"/>
      <c r="T135" s="244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5" t="s">
        <v>142</v>
      </c>
      <c r="AU135" s="245" t="s">
        <v>91</v>
      </c>
      <c r="AV135" s="13" t="s">
        <v>89</v>
      </c>
      <c r="AW135" s="13" t="s">
        <v>36</v>
      </c>
      <c r="AX135" s="13" t="s">
        <v>81</v>
      </c>
      <c r="AY135" s="245" t="s">
        <v>130</v>
      </c>
    </row>
    <row r="136" s="14" customFormat="1">
      <c r="A136" s="14"/>
      <c r="B136" s="246"/>
      <c r="C136" s="247"/>
      <c r="D136" s="230" t="s">
        <v>142</v>
      </c>
      <c r="E136" s="248" t="s">
        <v>1</v>
      </c>
      <c r="F136" s="249" t="s">
        <v>429</v>
      </c>
      <c r="G136" s="247"/>
      <c r="H136" s="250">
        <v>1125</v>
      </c>
      <c r="I136" s="251"/>
      <c r="J136" s="247"/>
      <c r="K136" s="247"/>
      <c r="L136" s="252"/>
      <c r="M136" s="253"/>
      <c r="N136" s="254"/>
      <c r="O136" s="254"/>
      <c r="P136" s="254"/>
      <c r="Q136" s="254"/>
      <c r="R136" s="254"/>
      <c r="S136" s="254"/>
      <c r="T136" s="255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T136" s="256" t="s">
        <v>142</v>
      </c>
      <c r="AU136" s="256" t="s">
        <v>91</v>
      </c>
      <c r="AV136" s="14" t="s">
        <v>91</v>
      </c>
      <c r="AW136" s="14" t="s">
        <v>36</v>
      </c>
      <c r="AX136" s="14" t="s">
        <v>89</v>
      </c>
      <c r="AY136" s="256" t="s">
        <v>130</v>
      </c>
    </row>
    <row r="137" s="2" customFormat="1" ht="24.15" customHeight="1">
      <c r="A137" s="37"/>
      <c r="B137" s="38"/>
      <c r="C137" s="217" t="s">
        <v>137</v>
      </c>
      <c r="D137" s="217" t="s">
        <v>132</v>
      </c>
      <c r="E137" s="218" t="s">
        <v>430</v>
      </c>
      <c r="F137" s="219" t="s">
        <v>431</v>
      </c>
      <c r="G137" s="220" t="s">
        <v>224</v>
      </c>
      <c r="H137" s="221">
        <v>11</v>
      </c>
      <c r="I137" s="222"/>
      <c r="J137" s="223">
        <f>ROUND(I137*H137,2)</f>
        <v>0</v>
      </c>
      <c r="K137" s="219" t="s">
        <v>136</v>
      </c>
      <c r="L137" s="43"/>
      <c r="M137" s="224" t="s">
        <v>1</v>
      </c>
      <c r="N137" s="225" t="s">
        <v>46</v>
      </c>
      <c r="O137" s="90"/>
      <c r="P137" s="226">
        <f>O137*H137</f>
        <v>0</v>
      </c>
      <c r="Q137" s="226">
        <v>0</v>
      </c>
      <c r="R137" s="226">
        <f>Q137*H137</f>
        <v>0</v>
      </c>
      <c r="S137" s="226">
        <v>0</v>
      </c>
      <c r="T137" s="227">
        <f>S137*H137</f>
        <v>0</v>
      </c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R137" s="228" t="s">
        <v>137</v>
      </c>
      <c r="AT137" s="228" t="s">
        <v>132</v>
      </c>
      <c r="AU137" s="228" t="s">
        <v>91</v>
      </c>
      <c r="AY137" s="16" t="s">
        <v>130</v>
      </c>
      <c r="BE137" s="229">
        <f>IF(N137="základní",J137,0)</f>
        <v>0</v>
      </c>
      <c r="BF137" s="229">
        <f>IF(N137="snížená",J137,0)</f>
        <v>0</v>
      </c>
      <c r="BG137" s="229">
        <f>IF(N137="zákl. přenesená",J137,0)</f>
        <v>0</v>
      </c>
      <c r="BH137" s="229">
        <f>IF(N137="sníž. přenesená",J137,0)</f>
        <v>0</v>
      </c>
      <c r="BI137" s="229">
        <f>IF(N137="nulová",J137,0)</f>
        <v>0</v>
      </c>
      <c r="BJ137" s="16" t="s">
        <v>89</v>
      </c>
      <c r="BK137" s="229">
        <f>ROUND(I137*H137,2)</f>
        <v>0</v>
      </c>
      <c r="BL137" s="16" t="s">
        <v>137</v>
      </c>
      <c r="BM137" s="228" t="s">
        <v>432</v>
      </c>
    </row>
    <row r="138" s="2" customFormat="1">
      <c r="A138" s="37"/>
      <c r="B138" s="38"/>
      <c r="C138" s="39"/>
      <c r="D138" s="230" t="s">
        <v>139</v>
      </c>
      <c r="E138" s="39"/>
      <c r="F138" s="231" t="s">
        <v>431</v>
      </c>
      <c r="G138" s="39"/>
      <c r="H138" s="39"/>
      <c r="I138" s="232"/>
      <c r="J138" s="39"/>
      <c r="K138" s="39"/>
      <c r="L138" s="43"/>
      <c r="M138" s="233"/>
      <c r="N138" s="234"/>
      <c r="O138" s="90"/>
      <c r="P138" s="90"/>
      <c r="Q138" s="90"/>
      <c r="R138" s="90"/>
      <c r="S138" s="90"/>
      <c r="T138" s="91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T138" s="16" t="s">
        <v>139</v>
      </c>
      <c r="AU138" s="16" t="s">
        <v>91</v>
      </c>
    </row>
    <row r="139" s="2" customFormat="1">
      <c r="A139" s="37"/>
      <c r="B139" s="38"/>
      <c r="C139" s="39"/>
      <c r="D139" s="230" t="s">
        <v>140</v>
      </c>
      <c r="E139" s="39"/>
      <c r="F139" s="235" t="s">
        <v>416</v>
      </c>
      <c r="G139" s="39"/>
      <c r="H139" s="39"/>
      <c r="I139" s="232"/>
      <c r="J139" s="39"/>
      <c r="K139" s="39"/>
      <c r="L139" s="43"/>
      <c r="M139" s="233"/>
      <c r="N139" s="234"/>
      <c r="O139" s="90"/>
      <c r="P139" s="90"/>
      <c r="Q139" s="90"/>
      <c r="R139" s="90"/>
      <c r="S139" s="90"/>
      <c r="T139" s="91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T139" s="16" t="s">
        <v>140</v>
      </c>
      <c r="AU139" s="16" t="s">
        <v>91</v>
      </c>
    </row>
    <row r="140" s="13" customFormat="1">
      <c r="A140" s="13"/>
      <c r="B140" s="236"/>
      <c r="C140" s="237"/>
      <c r="D140" s="230" t="s">
        <v>142</v>
      </c>
      <c r="E140" s="238" t="s">
        <v>1</v>
      </c>
      <c r="F140" s="239" t="s">
        <v>433</v>
      </c>
      <c r="G140" s="237"/>
      <c r="H140" s="238" t="s">
        <v>1</v>
      </c>
      <c r="I140" s="240"/>
      <c r="J140" s="237"/>
      <c r="K140" s="237"/>
      <c r="L140" s="241"/>
      <c r="M140" s="242"/>
      <c r="N140" s="243"/>
      <c r="O140" s="243"/>
      <c r="P140" s="243"/>
      <c r="Q140" s="243"/>
      <c r="R140" s="243"/>
      <c r="S140" s="243"/>
      <c r="T140" s="244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5" t="s">
        <v>142</v>
      </c>
      <c r="AU140" s="245" t="s">
        <v>91</v>
      </c>
      <c r="AV140" s="13" t="s">
        <v>89</v>
      </c>
      <c r="AW140" s="13" t="s">
        <v>36</v>
      </c>
      <c r="AX140" s="13" t="s">
        <v>81</v>
      </c>
      <c r="AY140" s="245" t="s">
        <v>130</v>
      </c>
    </row>
    <row r="141" s="14" customFormat="1">
      <c r="A141" s="14"/>
      <c r="B141" s="246"/>
      <c r="C141" s="247"/>
      <c r="D141" s="230" t="s">
        <v>142</v>
      </c>
      <c r="E141" s="248" t="s">
        <v>1</v>
      </c>
      <c r="F141" s="249" t="s">
        <v>160</v>
      </c>
      <c r="G141" s="247"/>
      <c r="H141" s="250">
        <v>11</v>
      </c>
      <c r="I141" s="251"/>
      <c r="J141" s="247"/>
      <c r="K141" s="247"/>
      <c r="L141" s="252"/>
      <c r="M141" s="253"/>
      <c r="N141" s="254"/>
      <c r="O141" s="254"/>
      <c r="P141" s="254"/>
      <c r="Q141" s="254"/>
      <c r="R141" s="254"/>
      <c r="S141" s="254"/>
      <c r="T141" s="255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T141" s="256" t="s">
        <v>142</v>
      </c>
      <c r="AU141" s="256" t="s">
        <v>91</v>
      </c>
      <c r="AV141" s="14" t="s">
        <v>91</v>
      </c>
      <c r="AW141" s="14" t="s">
        <v>36</v>
      </c>
      <c r="AX141" s="14" t="s">
        <v>89</v>
      </c>
      <c r="AY141" s="256" t="s">
        <v>130</v>
      </c>
    </row>
    <row r="142" s="2" customFormat="1" ht="24.15" customHeight="1">
      <c r="A142" s="37"/>
      <c r="B142" s="38"/>
      <c r="C142" s="217" t="s">
        <v>168</v>
      </c>
      <c r="D142" s="217" t="s">
        <v>132</v>
      </c>
      <c r="E142" s="218" t="s">
        <v>434</v>
      </c>
      <c r="F142" s="219" t="s">
        <v>435</v>
      </c>
      <c r="G142" s="220" t="s">
        <v>224</v>
      </c>
      <c r="H142" s="221">
        <v>11</v>
      </c>
      <c r="I142" s="222"/>
      <c r="J142" s="223">
        <f>ROUND(I142*H142,2)</f>
        <v>0</v>
      </c>
      <c r="K142" s="219" t="s">
        <v>136</v>
      </c>
      <c r="L142" s="43"/>
      <c r="M142" s="224" t="s">
        <v>1</v>
      </c>
      <c r="N142" s="225" t="s">
        <v>46</v>
      </c>
      <c r="O142" s="90"/>
      <c r="P142" s="226">
        <f>O142*H142</f>
        <v>0</v>
      </c>
      <c r="Q142" s="226">
        <v>0</v>
      </c>
      <c r="R142" s="226">
        <f>Q142*H142</f>
        <v>0</v>
      </c>
      <c r="S142" s="226">
        <v>0</v>
      </c>
      <c r="T142" s="227">
        <f>S142*H142</f>
        <v>0</v>
      </c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R142" s="228" t="s">
        <v>137</v>
      </c>
      <c r="AT142" s="228" t="s">
        <v>132</v>
      </c>
      <c r="AU142" s="228" t="s">
        <v>91</v>
      </c>
      <c r="AY142" s="16" t="s">
        <v>130</v>
      </c>
      <c r="BE142" s="229">
        <f>IF(N142="základní",J142,0)</f>
        <v>0</v>
      </c>
      <c r="BF142" s="229">
        <f>IF(N142="snížená",J142,0)</f>
        <v>0</v>
      </c>
      <c r="BG142" s="229">
        <f>IF(N142="zákl. přenesená",J142,0)</f>
        <v>0</v>
      </c>
      <c r="BH142" s="229">
        <f>IF(N142="sníž. přenesená",J142,0)</f>
        <v>0</v>
      </c>
      <c r="BI142" s="229">
        <f>IF(N142="nulová",J142,0)</f>
        <v>0</v>
      </c>
      <c r="BJ142" s="16" t="s">
        <v>89</v>
      </c>
      <c r="BK142" s="229">
        <f>ROUND(I142*H142,2)</f>
        <v>0</v>
      </c>
      <c r="BL142" s="16" t="s">
        <v>137</v>
      </c>
      <c r="BM142" s="228" t="s">
        <v>436</v>
      </c>
    </row>
    <row r="143" s="2" customFormat="1">
      <c r="A143" s="37"/>
      <c r="B143" s="38"/>
      <c r="C143" s="39"/>
      <c r="D143" s="230" t="s">
        <v>139</v>
      </c>
      <c r="E143" s="39"/>
      <c r="F143" s="231" t="s">
        <v>435</v>
      </c>
      <c r="G143" s="39"/>
      <c r="H143" s="39"/>
      <c r="I143" s="232"/>
      <c r="J143" s="39"/>
      <c r="K143" s="39"/>
      <c r="L143" s="43"/>
      <c r="M143" s="233"/>
      <c r="N143" s="234"/>
      <c r="O143" s="90"/>
      <c r="P143" s="90"/>
      <c r="Q143" s="90"/>
      <c r="R143" s="90"/>
      <c r="S143" s="90"/>
      <c r="T143" s="91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T143" s="16" t="s">
        <v>139</v>
      </c>
      <c r="AU143" s="16" t="s">
        <v>91</v>
      </c>
    </row>
    <row r="144" s="2" customFormat="1">
      <c r="A144" s="37"/>
      <c r="B144" s="38"/>
      <c r="C144" s="39"/>
      <c r="D144" s="230" t="s">
        <v>140</v>
      </c>
      <c r="E144" s="39"/>
      <c r="F144" s="235" t="s">
        <v>421</v>
      </c>
      <c r="G144" s="39"/>
      <c r="H144" s="39"/>
      <c r="I144" s="232"/>
      <c r="J144" s="39"/>
      <c r="K144" s="39"/>
      <c r="L144" s="43"/>
      <c r="M144" s="233"/>
      <c r="N144" s="234"/>
      <c r="O144" s="90"/>
      <c r="P144" s="90"/>
      <c r="Q144" s="90"/>
      <c r="R144" s="90"/>
      <c r="S144" s="90"/>
      <c r="T144" s="91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T144" s="16" t="s">
        <v>140</v>
      </c>
      <c r="AU144" s="16" t="s">
        <v>91</v>
      </c>
    </row>
    <row r="145" s="13" customFormat="1">
      <c r="A145" s="13"/>
      <c r="B145" s="236"/>
      <c r="C145" s="237"/>
      <c r="D145" s="230" t="s">
        <v>142</v>
      </c>
      <c r="E145" s="238" t="s">
        <v>1</v>
      </c>
      <c r="F145" s="239" t="s">
        <v>433</v>
      </c>
      <c r="G145" s="237"/>
      <c r="H145" s="238" t="s">
        <v>1</v>
      </c>
      <c r="I145" s="240"/>
      <c r="J145" s="237"/>
      <c r="K145" s="237"/>
      <c r="L145" s="241"/>
      <c r="M145" s="242"/>
      <c r="N145" s="243"/>
      <c r="O145" s="243"/>
      <c r="P145" s="243"/>
      <c r="Q145" s="243"/>
      <c r="R145" s="243"/>
      <c r="S145" s="243"/>
      <c r="T145" s="244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5" t="s">
        <v>142</v>
      </c>
      <c r="AU145" s="245" t="s">
        <v>91</v>
      </c>
      <c r="AV145" s="13" t="s">
        <v>89</v>
      </c>
      <c r="AW145" s="13" t="s">
        <v>36</v>
      </c>
      <c r="AX145" s="13" t="s">
        <v>81</v>
      </c>
      <c r="AY145" s="245" t="s">
        <v>130</v>
      </c>
    </row>
    <row r="146" s="14" customFormat="1">
      <c r="A146" s="14"/>
      <c r="B146" s="246"/>
      <c r="C146" s="247"/>
      <c r="D146" s="230" t="s">
        <v>142</v>
      </c>
      <c r="E146" s="248" t="s">
        <v>1</v>
      </c>
      <c r="F146" s="249" t="s">
        <v>160</v>
      </c>
      <c r="G146" s="247"/>
      <c r="H146" s="250">
        <v>11</v>
      </c>
      <c r="I146" s="251"/>
      <c r="J146" s="247"/>
      <c r="K146" s="247"/>
      <c r="L146" s="252"/>
      <c r="M146" s="253"/>
      <c r="N146" s="254"/>
      <c r="O146" s="254"/>
      <c r="P146" s="254"/>
      <c r="Q146" s="254"/>
      <c r="R146" s="254"/>
      <c r="S146" s="254"/>
      <c r="T146" s="255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T146" s="256" t="s">
        <v>142</v>
      </c>
      <c r="AU146" s="256" t="s">
        <v>91</v>
      </c>
      <c r="AV146" s="14" t="s">
        <v>91</v>
      </c>
      <c r="AW146" s="14" t="s">
        <v>36</v>
      </c>
      <c r="AX146" s="14" t="s">
        <v>89</v>
      </c>
      <c r="AY146" s="256" t="s">
        <v>130</v>
      </c>
    </row>
    <row r="147" s="2" customFormat="1" ht="24.15" customHeight="1">
      <c r="A147" s="37"/>
      <c r="B147" s="38"/>
      <c r="C147" s="217" t="s">
        <v>437</v>
      </c>
      <c r="D147" s="217" t="s">
        <v>132</v>
      </c>
      <c r="E147" s="218" t="s">
        <v>438</v>
      </c>
      <c r="F147" s="219" t="s">
        <v>439</v>
      </c>
      <c r="G147" s="220" t="s">
        <v>425</v>
      </c>
      <c r="H147" s="221">
        <v>275</v>
      </c>
      <c r="I147" s="222"/>
      <c r="J147" s="223">
        <f>ROUND(I147*H147,2)</f>
        <v>0</v>
      </c>
      <c r="K147" s="219" t="s">
        <v>136</v>
      </c>
      <c r="L147" s="43"/>
      <c r="M147" s="224" t="s">
        <v>1</v>
      </c>
      <c r="N147" s="225" t="s">
        <v>46</v>
      </c>
      <c r="O147" s="90"/>
      <c r="P147" s="226">
        <f>O147*H147</f>
        <v>0</v>
      </c>
      <c r="Q147" s="226">
        <v>0</v>
      </c>
      <c r="R147" s="226">
        <f>Q147*H147</f>
        <v>0</v>
      </c>
      <c r="S147" s="226">
        <v>0</v>
      </c>
      <c r="T147" s="227">
        <f>S147*H147</f>
        <v>0</v>
      </c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R147" s="228" t="s">
        <v>137</v>
      </c>
      <c r="AT147" s="228" t="s">
        <v>132</v>
      </c>
      <c r="AU147" s="228" t="s">
        <v>91</v>
      </c>
      <c r="AY147" s="16" t="s">
        <v>130</v>
      </c>
      <c r="BE147" s="229">
        <f>IF(N147="základní",J147,0)</f>
        <v>0</v>
      </c>
      <c r="BF147" s="229">
        <f>IF(N147="snížená",J147,0)</f>
        <v>0</v>
      </c>
      <c r="BG147" s="229">
        <f>IF(N147="zákl. přenesená",J147,0)</f>
        <v>0</v>
      </c>
      <c r="BH147" s="229">
        <f>IF(N147="sníž. přenesená",J147,0)</f>
        <v>0</v>
      </c>
      <c r="BI147" s="229">
        <f>IF(N147="nulová",J147,0)</f>
        <v>0</v>
      </c>
      <c r="BJ147" s="16" t="s">
        <v>89</v>
      </c>
      <c r="BK147" s="229">
        <f>ROUND(I147*H147,2)</f>
        <v>0</v>
      </c>
      <c r="BL147" s="16" t="s">
        <v>137</v>
      </c>
      <c r="BM147" s="228" t="s">
        <v>440</v>
      </c>
    </row>
    <row r="148" s="2" customFormat="1">
      <c r="A148" s="37"/>
      <c r="B148" s="38"/>
      <c r="C148" s="39"/>
      <c r="D148" s="230" t="s">
        <v>139</v>
      </c>
      <c r="E148" s="39"/>
      <c r="F148" s="231" t="s">
        <v>439</v>
      </c>
      <c r="G148" s="39"/>
      <c r="H148" s="39"/>
      <c r="I148" s="232"/>
      <c r="J148" s="39"/>
      <c r="K148" s="39"/>
      <c r="L148" s="43"/>
      <c r="M148" s="233"/>
      <c r="N148" s="234"/>
      <c r="O148" s="90"/>
      <c r="P148" s="90"/>
      <c r="Q148" s="90"/>
      <c r="R148" s="90"/>
      <c r="S148" s="90"/>
      <c r="T148" s="91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T148" s="16" t="s">
        <v>139</v>
      </c>
      <c r="AU148" s="16" t="s">
        <v>91</v>
      </c>
    </row>
    <row r="149" s="2" customFormat="1">
      <c r="A149" s="37"/>
      <c r="B149" s="38"/>
      <c r="C149" s="39"/>
      <c r="D149" s="230" t="s">
        <v>140</v>
      </c>
      <c r="E149" s="39"/>
      <c r="F149" s="235" t="s">
        <v>427</v>
      </c>
      <c r="G149" s="39"/>
      <c r="H149" s="39"/>
      <c r="I149" s="232"/>
      <c r="J149" s="39"/>
      <c r="K149" s="39"/>
      <c r="L149" s="43"/>
      <c r="M149" s="233"/>
      <c r="N149" s="234"/>
      <c r="O149" s="90"/>
      <c r="P149" s="90"/>
      <c r="Q149" s="90"/>
      <c r="R149" s="90"/>
      <c r="S149" s="90"/>
      <c r="T149" s="91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T149" s="16" t="s">
        <v>140</v>
      </c>
      <c r="AU149" s="16" t="s">
        <v>91</v>
      </c>
    </row>
    <row r="150" s="13" customFormat="1">
      <c r="A150" s="13"/>
      <c r="B150" s="236"/>
      <c r="C150" s="237"/>
      <c r="D150" s="230" t="s">
        <v>142</v>
      </c>
      <c r="E150" s="238" t="s">
        <v>1</v>
      </c>
      <c r="F150" s="239" t="s">
        <v>433</v>
      </c>
      <c r="G150" s="237"/>
      <c r="H150" s="238" t="s">
        <v>1</v>
      </c>
      <c r="I150" s="240"/>
      <c r="J150" s="237"/>
      <c r="K150" s="237"/>
      <c r="L150" s="241"/>
      <c r="M150" s="242"/>
      <c r="N150" s="243"/>
      <c r="O150" s="243"/>
      <c r="P150" s="243"/>
      <c r="Q150" s="243"/>
      <c r="R150" s="243"/>
      <c r="S150" s="243"/>
      <c r="T150" s="244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T150" s="245" t="s">
        <v>142</v>
      </c>
      <c r="AU150" s="245" t="s">
        <v>91</v>
      </c>
      <c r="AV150" s="13" t="s">
        <v>89</v>
      </c>
      <c r="AW150" s="13" t="s">
        <v>36</v>
      </c>
      <c r="AX150" s="13" t="s">
        <v>81</v>
      </c>
      <c r="AY150" s="245" t="s">
        <v>130</v>
      </c>
    </row>
    <row r="151" s="13" customFormat="1">
      <c r="A151" s="13"/>
      <c r="B151" s="236"/>
      <c r="C151" s="237"/>
      <c r="D151" s="230" t="s">
        <v>142</v>
      </c>
      <c r="E151" s="238" t="s">
        <v>1</v>
      </c>
      <c r="F151" s="239" t="s">
        <v>428</v>
      </c>
      <c r="G151" s="237"/>
      <c r="H151" s="238" t="s">
        <v>1</v>
      </c>
      <c r="I151" s="240"/>
      <c r="J151" s="237"/>
      <c r="K151" s="237"/>
      <c r="L151" s="241"/>
      <c r="M151" s="242"/>
      <c r="N151" s="243"/>
      <c r="O151" s="243"/>
      <c r="P151" s="243"/>
      <c r="Q151" s="243"/>
      <c r="R151" s="243"/>
      <c r="S151" s="243"/>
      <c r="T151" s="244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5" t="s">
        <v>142</v>
      </c>
      <c r="AU151" s="245" t="s">
        <v>91</v>
      </c>
      <c r="AV151" s="13" t="s">
        <v>89</v>
      </c>
      <c r="AW151" s="13" t="s">
        <v>36</v>
      </c>
      <c r="AX151" s="13" t="s">
        <v>81</v>
      </c>
      <c r="AY151" s="245" t="s">
        <v>130</v>
      </c>
    </row>
    <row r="152" s="14" customFormat="1">
      <c r="A152" s="14"/>
      <c r="B152" s="246"/>
      <c r="C152" s="247"/>
      <c r="D152" s="230" t="s">
        <v>142</v>
      </c>
      <c r="E152" s="248" t="s">
        <v>1</v>
      </c>
      <c r="F152" s="249" t="s">
        <v>441</v>
      </c>
      <c r="G152" s="247"/>
      <c r="H152" s="250">
        <v>275</v>
      </c>
      <c r="I152" s="251"/>
      <c r="J152" s="247"/>
      <c r="K152" s="247"/>
      <c r="L152" s="252"/>
      <c r="M152" s="253"/>
      <c r="N152" s="254"/>
      <c r="O152" s="254"/>
      <c r="P152" s="254"/>
      <c r="Q152" s="254"/>
      <c r="R152" s="254"/>
      <c r="S152" s="254"/>
      <c r="T152" s="255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T152" s="256" t="s">
        <v>142</v>
      </c>
      <c r="AU152" s="256" t="s">
        <v>91</v>
      </c>
      <c r="AV152" s="14" t="s">
        <v>91</v>
      </c>
      <c r="AW152" s="14" t="s">
        <v>36</v>
      </c>
      <c r="AX152" s="14" t="s">
        <v>89</v>
      </c>
      <c r="AY152" s="256" t="s">
        <v>130</v>
      </c>
    </row>
    <row r="153" s="2" customFormat="1" ht="24.15" customHeight="1">
      <c r="A153" s="37"/>
      <c r="B153" s="38"/>
      <c r="C153" s="217" t="s">
        <v>442</v>
      </c>
      <c r="D153" s="217" t="s">
        <v>132</v>
      </c>
      <c r="E153" s="218" t="s">
        <v>443</v>
      </c>
      <c r="F153" s="219" t="s">
        <v>444</v>
      </c>
      <c r="G153" s="220" t="s">
        <v>224</v>
      </c>
      <c r="H153" s="221">
        <v>3</v>
      </c>
      <c r="I153" s="222"/>
      <c r="J153" s="223">
        <f>ROUND(I153*H153,2)</f>
        <v>0</v>
      </c>
      <c r="K153" s="219" t="s">
        <v>136</v>
      </c>
      <c r="L153" s="43"/>
      <c r="M153" s="224" t="s">
        <v>1</v>
      </c>
      <c r="N153" s="225" t="s">
        <v>46</v>
      </c>
      <c r="O153" s="90"/>
      <c r="P153" s="226">
        <f>O153*H153</f>
        <v>0</v>
      </c>
      <c r="Q153" s="226">
        <v>0</v>
      </c>
      <c r="R153" s="226">
        <f>Q153*H153</f>
        <v>0</v>
      </c>
      <c r="S153" s="226">
        <v>0</v>
      </c>
      <c r="T153" s="227">
        <f>S153*H153</f>
        <v>0</v>
      </c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R153" s="228" t="s">
        <v>137</v>
      </c>
      <c r="AT153" s="228" t="s">
        <v>132</v>
      </c>
      <c r="AU153" s="228" t="s">
        <v>91</v>
      </c>
      <c r="AY153" s="16" t="s">
        <v>130</v>
      </c>
      <c r="BE153" s="229">
        <f>IF(N153="základní",J153,0)</f>
        <v>0</v>
      </c>
      <c r="BF153" s="229">
        <f>IF(N153="snížená",J153,0)</f>
        <v>0</v>
      </c>
      <c r="BG153" s="229">
        <f>IF(N153="zákl. přenesená",J153,0)</f>
        <v>0</v>
      </c>
      <c r="BH153" s="229">
        <f>IF(N153="sníž. přenesená",J153,0)</f>
        <v>0</v>
      </c>
      <c r="BI153" s="229">
        <f>IF(N153="nulová",J153,0)</f>
        <v>0</v>
      </c>
      <c r="BJ153" s="16" t="s">
        <v>89</v>
      </c>
      <c r="BK153" s="229">
        <f>ROUND(I153*H153,2)</f>
        <v>0</v>
      </c>
      <c r="BL153" s="16" t="s">
        <v>137</v>
      </c>
      <c r="BM153" s="228" t="s">
        <v>445</v>
      </c>
    </row>
    <row r="154" s="2" customFormat="1">
      <c r="A154" s="37"/>
      <c r="B154" s="38"/>
      <c r="C154" s="39"/>
      <c r="D154" s="230" t="s">
        <v>139</v>
      </c>
      <c r="E154" s="39"/>
      <c r="F154" s="231" t="s">
        <v>444</v>
      </c>
      <c r="G154" s="39"/>
      <c r="H154" s="39"/>
      <c r="I154" s="232"/>
      <c r="J154" s="39"/>
      <c r="K154" s="39"/>
      <c r="L154" s="43"/>
      <c r="M154" s="233"/>
      <c r="N154" s="234"/>
      <c r="O154" s="90"/>
      <c r="P154" s="90"/>
      <c r="Q154" s="90"/>
      <c r="R154" s="90"/>
      <c r="S154" s="90"/>
      <c r="T154" s="91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T154" s="16" t="s">
        <v>139</v>
      </c>
      <c r="AU154" s="16" t="s">
        <v>91</v>
      </c>
    </row>
    <row r="155" s="2" customFormat="1">
      <c r="A155" s="37"/>
      <c r="B155" s="38"/>
      <c r="C155" s="39"/>
      <c r="D155" s="230" t="s">
        <v>140</v>
      </c>
      <c r="E155" s="39"/>
      <c r="F155" s="235" t="s">
        <v>446</v>
      </c>
      <c r="G155" s="39"/>
      <c r="H155" s="39"/>
      <c r="I155" s="232"/>
      <c r="J155" s="39"/>
      <c r="K155" s="39"/>
      <c r="L155" s="43"/>
      <c r="M155" s="233"/>
      <c r="N155" s="234"/>
      <c r="O155" s="90"/>
      <c r="P155" s="90"/>
      <c r="Q155" s="90"/>
      <c r="R155" s="90"/>
      <c r="S155" s="90"/>
      <c r="T155" s="91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T155" s="16" t="s">
        <v>140</v>
      </c>
      <c r="AU155" s="16" t="s">
        <v>91</v>
      </c>
    </row>
    <row r="156" s="13" customFormat="1">
      <c r="A156" s="13"/>
      <c r="B156" s="236"/>
      <c r="C156" s="237"/>
      <c r="D156" s="230" t="s">
        <v>142</v>
      </c>
      <c r="E156" s="238" t="s">
        <v>1</v>
      </c>
      <c r="F156" s="239" t="s">
        <v>447</v>
      </c>
      <c r="G156" s="237"/>
      <c r="H156" s="238" t="s">
        <v>1</v>
      </c>
      <c r="I156" s="240"/>
      <c r="J156" s="237"/>
      <c r="K156" s="237"/>
      <c r="L156" s="241"/>
      <c r="M156" s="242"/>
      <c r="N156" s="243"/>
      <c r="O156" s="243"/>
      <c r="P156" s="243"/>
      <c r="Q156" s="243"/>
      <c r="R156" s="243"/>
      <c r="S156" s="243"/>
      <c r="T156" s="244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5" t="s">
        <v>142</v>
      </c>
      <c r="AU156" s="245" t="s">
        <v>91</v>
      </c>
      <c r="AV156" s="13" t="s">
        <v>89</v>
      </c>
      <c r="AW156" s="13" t="s">
        <v>36</v>
      </c>
      <c r="AX156" s="13" t="s">
        <v>81</v>
      </c>
      <c r="AY156" s="245" t="s">
        <v>130</v>
      </c>
    </row>
    <row r="157" s="14" customFormat="1">
      <c r="A157" s="14"/>
      <c r="B157" s="246"/>
      <c r="C157" s="247"/>
      <c r="D157" s="230" t="s">
        <v>142</v>
      </c>
      <c r="E157" s="248" t="s">
        <v>1</v>
      </c>
      <c r="F157" s="249" t="s">
        <v>422</v>
      </c>
      <c r="G157" s="247"/>
      <c r="H157" s="250">
        <v>3</v>
      </c>
      <c r="I157" s="251"/>
      <c r="J157" s="247"/>
      <c r="K157" s="247"/>
      <c r="L157" s="252"/>
      <c r="M157" s="253"/>
      <c r="N157" s="254"/>
      <c r="O157" s="254"/>
      <c r="P157" s="254"/>
      <c r="Q157" s="254"/>
      <c r="R157" s="254"/>
      <c r="S157" s="254"/>
      <c r="T157" s="255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T157" s="256" t="s">
        <v>142</v>
      </c>
      <c r="AU157" s="256" t="s">
        <v>91</v>
      </c>
      <c r="AV157" s="14" t="s">
        <v>91</v>
      </c>
      <c r="AW157" s="14" t="s">
        <v>36</v>
      </c>
      <c r="AX157" s="14" t="s">
        <v>89</v>
      </c>
      <c r="AY157" s="256" t="s">
        <v>130</v>
      </c>
    </row>
    <row r="158" s="2" customFormat="1" ht="24.15" customHeight="1">
      <c r="A158" s="37"/>
      <c r="B158" s="38"/>
      <c r="C158" s="217" t="s">
        <v>217</v>
      </c>
      <c r="D158" s="217" t="s">
        <v>132</v>
      </c>
      <c r="E158" s="218" t="s">
        <v>448</v>
      </c>
      <c r="F158" s="219" t="s">
        <v>449</v>
      </c>
      <c r="G158" s="220" t="s">
        <v>224</v>
      </c>
      <c r="H158" s="221">
        <v>3</v>
      </c>
      <c r="I158" s="222"/>
      <c r="J158" s="223">
        <f>ROUND(I158*H158,2)</f>
        <v>0</v>
      </c>
      <c r="K158" s="219" t="s">
        <v>136</v>
      </c>
      <c r="L158" s="43"/>
      <c r="M158" s="224" t="s">
        <v>1</v>
      </c>
      <c r="N158" s="225" t="s">
        <v>46</v>
      </c>
      <c r="O158" s="90"/>
      <c r="P158" s="226">
        <f>O158*H158</f>
        <v>0</v>
      </c>
      <c r="Q158" s="226">
        <v>0</v>
      </c>
      <c r="R158" s="226">
        <f>Q158*H158</f>
        <v>0</v>
      </c>
      <c r="S158" s="226">
        <v>0</v>
      </c>
      <c r="T158" s="227">
        <f>S158*H158</f>
        <v>0</v>
      </c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R158" s="228" t="s">
        <v>137</v>
      </c>
      <c r="AT158" s="228" t="s">
        <v>132</v>
      </c>
      <c r="AU158" s="228" t="s">
        <v>91</v>
      </c>
      <c r="AY158" s="16" t="s">
        <v>130</v>
      </c>
      <c r="BE158" s="229">
        <f>IF(N158="základní",J158,0)</f>
        <v>0</v>
      </c>
      <c r="BF158" s="229">
        <f>IF(N158="snížená",J158,0)</f>
        <v>0</v>
      </c>
      <c r="BG158" s="229">
        <f>IF(N158="zákl. přenesená",J158,0)</f>
        <v>0</v>
      </c>
      <c r="BH158" s="229">
        <f>IF(N158="sníž. přenesená",J158,0)</f>
        <v>0</v>
      </c>
      <c r="BI158" s="229">
        <f>IF(N158="nulová",J158,0)</f>
        <v>0</v>
      </c>
      <c r="BJ158" s="16" t="s">
        <v>89</v>
      </c>
      <c r="BK158" s="229">
        <f>ROUND(I158*H158,2)</f>
        <v>0</v>
      </c>
      <c r="BL158" s="16" t="s">
        <v>137</v>
      </c>
      <c r="BM158" s="228" t="s">
        <v>450</v>
      </c>
    </row>
    <row r="159" s="2" customFormat="1">
      <c r="A159" s="37"/>
      <c r="B159" s="38"/>
      <c r="C159" s="39"/>
      <c r="D159" s="230" t="s">
        <v>139</v>
      </c>
      <c r="E159" s="39"/>
      <c r="F159" s="231" t="s">
        <v>449</v>
      </c>
      <c r="G159" s="39"/>
      <c r="H159" s="39"/>
      <c r="I159" s="232"/>
      <c r="J159" s="39"/>
      <c r="K159" s="39"/>
      <c r="L159" s="43"/>
      <c r="M159" s="233"/>
      <c r="N159" s="234"/>
      <c r="O159" s="90"/>
      <c r="P159" s="90"/>
      <c r="Q159" s="90"/>
      <c r="R159" s="90"/>
      <c r="S159" s="90"/>
      <c r="T159" s="91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T159" s="16" t="s">
        <v>139</v>
      </c>
      <c r="AU159" s="16" t="s">
        <v>91</v>
      </c>
    </row>
    <row r="160" s="2" customFormat="1">
      <c r="A160" s="37"/>
      <c r="B160" s="38"/>
      <c r="C160" s="39"/>
      <c r="D160" s="230" t="s">
        <v>140</v>
      </c>
      <c r="E160" s="39"/>
      <c r="F160" s="235" t="s">
        <v>451</v>
      </c>
      <c r="G160" s="39"/>
      <c r="H160" s="39"/>
      <c r="I160" s="232"/>
      <c r="J160" s="39"/>
      <c r="K160" s="39"/>
      <c r="L160" s="43"/>
      <c r="M160" s="233"/>
      <c r="N160" s="234"/>
      <c r="O160" s="90"/>
      <c r="P160" s="90"/>
      <c r="Q160" s="90"/>
      <c r="R160" s="90"/>
      <c r="S160" s="90"/>
      <c r="T160" s="91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T160" s="16" t="s">
        <v>140</v>
      </c>
      <c r="AU160" s="16" t="s">
        <v>91</v>
      </c>
    </row>
    <row r="161" s="13" customFormat="1">
      <c r="A161" s="13"/>
      <c r="B161" s="236"/>
      <c r="C161" s="237"/>
      <c r="D161" s="230" t="s">
        <v>142</v>
      </c>
      <c r="E161" s="238" t="s">
        <v>1</v>
      </c>
      <c r="F161" s="239" t="s">
        <v>447</v>
      </c>
      <c r="G161" s="237"/>
      <c r="H161" s="238" t="s">
        <v>1</v>
      </c>
      <c r="I161" s="240"/>
      <c r="J161" s="237"/>
      <c r="K161" s="237"/>
      <c r="L161" s="241"/>
      <c r="M161" s="242"/>
      <c r="N161" s="243"/>
      <c r="O161" s="243"/>
      <c r="P161" s="243"/>
      <c r="Q161" s="243"/>
      <c r="R161" s="243"/>
      <c r="S161" s="243"/>
      <c r="T161" s="244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5" t="s">
        <v>142</v>
      </c>
      <c r="AU161" s="245" t="s">
        <v>91</v>
      </c>
      <c r="AV161" s="13" t="s">
        <v>89</v>
      </c>
      <c r="AW161" s="13" t="s">
        <v>36</v>
      </c>
      <c r="AX161" s="13" t="s">
        <v>81</v>
      </c>
      <c r="AY161" s="245" t="s">
        <v>130</v>
      </c>
    </row>
    <row r="162" s="14" customFormat="1">
      <c r="A162" s="14"/>
      <c r="B162" s="246"/>
      <c r="C162" s="247"/>
      <c r="D162" s="230" t="s">
        <v>142</v>
      </c>
      <c r="E162" s="248" t="s">
        <v>1</v>
      </c>
      <c r="F162" s="249" t="s">
        <v>422</v>
      </c>
      <c r="G162" s="247"/>
      <c r="H162" s="250">
        <v>3</v>
      </c>
      <c r="I162" s="251"/>
      <c r="J162" s="247"/>
      <c r="K162" s="247"/>
      <c r="L162" s="252"/>
      <c r="M162" s="253"/>
      <c r="N162" s="254"/>
      <c r="O162" s="254"/>
      <c r="P162" s="254"/>
      <c r="Q162" s="254"/>
      <c r="R162" s="254"/>
      <c r="S162" s="254"/>
      <c r="T162" s="255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T162" s="256" t="s">
        <v>142</v>
      </c>
      <c r="AU162" s="256" t="s">
        <v>91</v>
      </c>
      <c r="AV162" s="14" t="s">
        <v>91</v>
      </c>
      <c r="AW162" s="14" t="s">
        <v>36</v>
      </c>
      <c r="AX162" s="14" t="s">
        <v>89</v>
      </c>
      <c r="AY162" s="256" t="s">
        <v>130</v>
      </c>
    </row>
    <row r="163" s="2" customFormat="1" ht="24.15" customHeight="1">
      <c r="A163" s="37"/>
      <c r="B163" s="38"/>
      <c r="C163" s="217" t="s">
        <v>219</v>
      </c>
      <c r="D163" s="217" t="s">
        <v>132</v>
      </c>
      <c r="E163" s="218" t="s">
        <v>452</v>
      </c>
      <c r="F163" s="219" t="s">
        <v>453</v>
      </c>
      <c r="G163" s="220" t="s">
        <v>425</v>
      </c>
      <c r="H163" s="221">
        <v>75</v>
      </c>
      <c r="I163" s="222"/>
      <c r="J163" s="223">
        <f>ROUND(I163*H163,2)</f>
        <v>0</v>
      </c>
      <c r="K163" s="219" t="s">
        <v>136</v>
      </c>
      <c r="L163" s="43"/>
      <c r="M163" s="224" t="s">
        <v>1</v>
      </c>
      <c r="N163" s="225" t="s">
        <v>46</v>
      </c>
      <c r="O163" s="90"/>
      <c r="P163" s="226">
        <f>O163*H163</f>
        <v>0</v>
      </c>
      <c r="Q163" s="226">
        <v>0</v>
      </c>
      <c r="R163" s="226">
        <f>Q163*H163</f>
        <v>0</v>
      </c>
      <c r="S163" s="226">
        <v>0</v>
      </c>
      <c r="T163" s="227">
        <f>S163*H163</f>
        <v>0</v>
      </c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R163" s="228" t="s">
        <v>137</v>
      </c>
      <c r="AT163" s="228" t="s">
        <v>132</v>
      </c>
      <c r="AU163" s="228" t="s">
        <v>91</v>
      </c>
      <c r="AY163" s="16" t="s">
        <v>130</v>
      </c>
      <c r="BE163" s="229">
        <f>IF(N163="základní",J163,0)</f>
        <v>0</v>
      </c>
      <c r="BF163" s="229">
        <f>IF(N163="snížená",J163,0)</f>
        <v>0</v>
      </c>
      <c r="BG163" s="229">
        <f>IF(N163="zákl. přenesená",J163,0)</f>
        <v>0</v>
      </c>
      <c r="BH163" s="229">
        <f>IF(N163="sníž. přenesená",J163,0)</f>
        <v>0</v>
      </c>
      <c r="BI163" s="229">
        <f>IF(N163="nulová",J163,0)</f>
        <v>0</v>
      </c>
      <c r="BJ163" s="16" t="s">
        <v>89</v>
      </c>
      <c r="BK163" s="229">
        <f>ROUND(I163*H163,2)</f>
        <v>0</v>
      </c>
      <c r="BL163" s="16" t="s">
        <v>137</v>
      </c>
      <c r="BM163" s="228" t="s">
        <v>454</v>
      </c>
    </row>
    <row r="164" s="2" customFormat="1">
      <c r="A164" s="37"/>
      <c r="B164" s="38"/>
      <c r="C164" s="39"/>
      <c r="D164" s="230" t="s">
        <v>139</v>
      </c>
      <c r="E164" s="39"/>
      <c r="F164" s="231" t="s">
        <v>453</v>
      </c>
      <c r="G164" s="39"/>
      <c r="H164" s="39"/>
      <c r="I164" s="232"/>
      <c r="J164" s="39"/>
      <c r="K164" s="39"/>
      <c r="L164" s="43"/>
      <c r="M164" s="233"/>
      <c r="N164" s="234"/>
      <c r="O164" s="90"/>
      <c r="P164" s="90"/>
      <c r="Q164" s="90"/>
      <c r="R164" s="90"/>
      <c r="S164" s="90"/>
      <c r="T164" s="91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T164" s="16" t="s">
        <v>139</v>
      </c>
      <c r="AU164" s="16" t="s">
        <v>91</v>
      </c>
    </row>
    <row r="165" s="2" customFormat="1">
      <c r="A165" s="37"/>
      <c r="B165" s="38"/>
      <c r="C165" s="39"/>
      <c r="D165" s="230" t="s">
        <v>140</v>
      </c>
      <c r="E165" s="39"/>
      <c r="F165" s="235" t="s">
        <v>455</v>
      </c>
      <c r="G165" s="39"/>
      <c r="H165" s="39"/>
      <c r="I165" s="232"/>
      <c r="J165" s="39"/>
      <c r="K165" s="39"/>
      <c r="L165" s="43"/>
      <c r="M165" s="233"/>
      <c r="N165" s="234"/>
      <c r="O165" s="90"/>
      <c r="P165" s="90"/>
      <c r="Q165" s="90"/>
      <c r="R165" s="90"/>
      <c r="S165" s="90"/>
      <c r="T165" s="91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T165" s="16" t="s">
        <v>140</v>
      </c>
      <c r="AU165" s="16" t="s">
        <v>91</v>
      </c>
    </row>
    <row r="166" s="13" customFormat="1">
      <c r="A166" s="13"/>
      <c r="B166" s="236"/>
      <c r="C166" s="237"/>
      <c r="D166" s="230" t="s">
        <v>142</v>
      </c>
      <c r="E166" s="238" t="s">
        <v>1</v>
      </c>
      <c r="F166" s="239" t="s">
        <v>447</v>
      </c>
      <c r="G166" s="237"/>
      <c r="H166" s="238" t="s">
        <v>1</v>
      </c>
      <c r="I166" s="240"/>
      <c r="J166" s="237"/>
      <c r="K166" s="237"/>
      <c r="L166" s="241"/>
      <c r="M166" s="242"/>
      <c r="N166" s="243"/>
      <c r="O166" s="243"/>
      <c r="P166" s="243"/>
      <c r="Q166" s="243"/>
      <c r="R166" s="243"/>
      <c r="S166" s="243"/>
      <c r="T166" s="244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5" t="s">
        <v>142</v>
      </c>
      <c r="AU166" s="245" t="s">
        <v>91</v>
      </c>
      <c r="AV166" s="13" t="s">
        <v>89</v>
      </c>
      <c r="AW166" s="13" t="s">
        <v>36</v>
      </c>
      <c r="AX166" s="13" t="s">
        <v>81</v>
      </c>
      <c r="AY166" s="245" t="s">
        <v>130</v>
      </c>
    </row>
    <row r="167" s="13" customFormat="1">
      <c r="A167" s="13"/>
      <c r="B167" s="236"/>
      <c r="C167" s="237"/>
      <c r="D167" s="230" t="s">
        <v>142</v>
      </c>
      <c r="E167" s="238" t="s">
        <v>1</v>
      </c>
      <c r="F167" s="239" t="s">
        <v>428</v>
      </c>
      <c r="G167" s="237"/>
      <c r="H167" s="238" t="s">
        <v>1</v>
      </c>
      <c r="I167" s="240"/>
      <c r="J167" s="237"/>
      <c r="K167" s="237"/>
      <c r="L167" s="241"/>
      <c r="M167" s="242"/>
      <c r="N167" s="243"/>
      <c r="O167" s="243"/>
      <c r="P167" s="243"/>
      <c r="Q167" s="243"/>
      <c r="R167" s="243"/>
      <c r="S167" s="243"/>
      <c r="T167" s="244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5" t="s">
        <v>142</v>
      </c>
      <c r="AU167" s="245" t="s">
        <v>91</v>
      </c>
      <c r="AV167" s="13" t="s">
        <v>89</v>
      </c>
      <c r="AW167" s="13" t="s">
        <v>36</v>
      </c>
      <c r="AX167" s="13" t="s">
        <v>81</v>
      </c>
      <c r="AY167" s="245" t="s">
        <v>130</v>
      </c>
    </row>
    <row r="168" s="14" customFormat="1">
      <c r="A168" s="14"/>
      <c r="B168" s="246"/>
      <c r="C168" s="247"/>
      <c r="D168" s="230" t="s">
        <v>142</v>
      </c>
      <c r="E168" s="248" t="s">
        <v>1</v>
      </c>
      <c r="F168" s="249" t="s">
        <v>456</v>
      </c>
      <c r="G168" s="247"/>
      <c r="H168" s="250">
        <v>75</v>
      </c>
      <c r="I168" s="251"/>
      <c r="J168" s="247"/>
      <c r="K168" s="247"/>
      <c r="L168" s="252"/>
      <c r="M168" s="253"/>
      <c r="N168" s="254"/>
      <c r="O168" s="254"/>
      <c r="P168" s="254"/>
      <c r="Q168" s="254"/>
      <c r="R168" s="254"/>
      <c r="S168" s="254"/>
      <c r="T168" s="255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T168" s="256" t="s">
        <v>142</v>
      </c>
      <c r="AU168" s="256" t="s">
        <v>91</v>
      </c>
      <c r="AV168" s="14" t="s">
        <v>91</v>
      </c>
      <c r="AW168" s="14" t="s">
        <v>36</v>
      </c>
      <c r="AX168" s="14" t="s">
        <v>89</v>
      </c>
      <c r="AY168" s="256" t="s">
        <v>130</v>
      </c>
    </row>
    <row r="169" s="2" customFormat="1" ht="24.15" customHeight="1">
      <c r="A169" s="37"/>
      <c r="B169" s="38"/>
      <c r="C169" s="217" t="s">
        <v>149</v>
      </c>
      <c r="D169" s="217" t="s">
        <v>132</v>
      </c>
      <c r="E169" s="218" t="s">
        <v>457</v>
      </c>
      <c r="F169" s="219" t="s">
        <v>458</v>
      </c>
      <c r="G169" s="220" t="s">
        <v>224</v>
      </c>
      <c r="H169" s="221">
        <v>20</v>
      </c>
      <c r="I169" s="222"/>
      <c r="J169" s="223">
        <f>ROUND(I169*H169,2)</f>
        <v>0</v>
      </c>
      <c r="K169" s="219" t="s">
        <v>136</v>
      </c>
      <c r="L169" s="43"/>
      <c r="M169" s="224" t="s">
        <v>1</v>
      </c>
      <c r="N169" s="225" t="s">
        <v>46</v>
      </c>
      <c r="O169" s="90"/>
      <c r="P169" s="226">
        <f>O169*H169</f>
        <v>0</v>
      </c>
      <c r="Q169" s="226">
        <v>0</v>
      </c>
      <c r="R169" s="226">
        <f>Q169*H169</f>
        <v>0</v>
      </c>
      <c r="S169" s="226">
        <v>0</v>
      </c>
      <c r="T169" s="227">
        <f>S169*H169</f>
        <v>0</v>
      </c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R169" s="228" t="s">
        <v>137</v>
      </c>
      <c r="AT169" s="228" t="s">
        <v>132</v>
      </c>
      <c r="AU169" s="228" t="s">
        <v>91</v>
      </c>
      <c r="AY169" s="16" t="s">
        <v>130</v>
      </c>
      <c r="BE169" s="229">
        <f>IF(N169="základní",J169,0)</f>
        <v>0</v>
      </c>
      <c r="BF169" s="229">
        <f>IF(N169="snížená",J169,0)</f>
        <v>0</v>
      </c>
      <c r="BG169" s="229">
        <f>IF(N169="zákl. přenesená",J169,0)</f>
        <v>0</v>
      </c>
      <c r="BH169" s="229">
        <f>IF(N169="sníž. přenesená",J169,0)</f>
        <v>0</v>
      </c>
      <c r="BI169" s="229">
        <f>IF(N169="nulová",J169,0)</f>
        <v>0</v>
      </c>
      <c r="BJ169" s="16" t="s">
        <v>89</v>
      </c>
      <c r="BK169" s="229">
        <f>ROUND(I169*H169,2)</f>
        <v>0</v>
      </c>
      <c r="BL169" s="16" t="s">
        <v>137</v>
      </c>
      <c r="BM169" s="228" t="s">
        <v>459</v>
      </c>
    </row>
    <row r="170" s="2" customFormat="1">
      <c r="A170" s="37"/>
      <c r="B170" s="38"/>
      <c r="C170" s="39"/>
      <c r="D170" s="230" t="s">
        <v>139</v>
      </c>
      <c r="E170" s="39"/>
      <c r="F170" s="231" t="s">
        <v>458</v>
      </c>
      <c r="G170" s="39"/>
      <c r="H170" s="39"/>
      <c r="I170" s="232"/>
      <c r="J170" s="39"/>
      <c r="K170" s="39"/>
      <c r="L170" s="43"/>
      <c r="M170" s="233"/>
      <c r="N170" s="234"/>
      <c r="O170" s="90"/>
      <c r="P170" s="90"/>
      <c r="Q170" s="90"/>
      <c r="R170" s="90"/>
      <c r="S170" s="90"/>
      <c r="T170" s="91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T170" s="16" t="s">
        <v>139</v>
      </c>
      <c r="AU170" s="16" t="s">
        <v>91</v>
      </c>
    </row>
    <row r="171" s="2" customFormat="1">
      <c r="A171" s="37"/>
      <c r="B171" s="38"/>
      <c r="C171" s="39"/>
      <c r="D171" s="230" t="s">
        <v>140</v>
      </c>
      <c r="E171" s="39"/>
      <c r="F171" s="235" t="s">
        <v>460</v>
      </c>
      <c r="G171" s="39"/>
      <c r="H171" s="39"/>
      <c r="I171" s="232"/>
      <c r="J171" s="39"/>
      <c r="K171" s="39"/>
      <c r="L171" s="43"/>
      <c r="M171" s="233"/>
      <c r="N171" s="234"/>
      <c r="O171" s="90"/>
      <c r="P171" s="90"/>
      <c r="Q171" s="90"/>
      <c r="R171" s="90"/>
      <c r="S171" s="90"/>
      <c r="T171" s="91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T171" s="16" t="s">
        <v>140</v>
      </c>
      <c r="AU171" s="16" t="s">
        <v>91</v>
      </c>
    </row>
    <row r="172" s="13" customFormat="1">
      <c r="A172" s="13"/>
      <c r="B172" s="236"/>
      <c r="C172" s="237"/>
      <c r="D172" s="230" t="s">
        <v>142</v>
      </c>
      <c r="E172" s="238" t="s">
        <v>1</v>
      </c>
      <c r="F172" s="239" t="s">
        <v>461</v>
      </c>
      <c r="G172" s="237"/>
      <c r="H172" s="238" t="s">
        <v>1</v>
      </c>
      <c r="I172" s="240"/>
      <c r="J172" s="237"/>
      <c r="K172" s="237"/>
      <c r="L172" s="241"/>
      <c r="M172" s="242"/>
      <c r="N172" s="243"/>
      <c r="O172" s="243"/>
      <c r="P172" s="243"/>
      <c r="Q172" s="243"/>
      <c r="R172" s="243"/>
      <c r="S172" s="243"/>
      <c r="T172" s="244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5" t="s">
        <v>142</v>
      </c>
      <c r="AU172" s="245" t="s">
        <v>91</v>
      </c>
      <c r="AV172" s="13" t="s">
        <v>89</v>
      </c>
      <c r="AW172" s="13" t="s">
        <v>36</v>
      </c>
      <c r="AX172" s="13" t="s">
        <v>81</v>
      </c>
      <c r="AY172" s="245" t="s">
        <v>130</v>
      </c>
    </row>
    <row r="173" s="14" customFormat="1">
      <c r="A173" s="14"/>
      <c r="B173" s="246"/>
      <c r="C173" s="247"/>
      <c r="D173" s="230" t="s">
        <v>142</v>
      </c>
      <c r="E173" s="248" t="s">
        <v>1</v>
      </c>
      <c r="F173" s="249" t="s">
        <v>462</v>
      </c>
      <c r="G173" s="247"/>
      <c r="H173" s="250">
        <v>20</v>
      </c>
      <c r="I173" s="251"/>
      <c r="J173" s="247"/>
      <c r="K173" s="247"/>
      <c r="L173" s="252"/>
      <c r="M173" s="253"/>
      <c r="N173" s="254"/>
      <c r="O173" s="254"/>
      <c r="P173" s="254"/>
      <c r="Q173" s="254"/>
      <c r="R173" s="254"/>
      <c r="S173" s="254"/>
      <c r="T173" s="255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T173" s="256" t="s">
        <v>142</v>
      </c>
      <c r="AU173" s="256" t="s">
        <v>91</v>
      </c>
      <c r="AV173" s="14" t="s">
        <v>91</v>
      </c>
      <c r="AW173" s="14" t="s">
        <v>36</v>
      </c>
      <c r="AX173" s="14" t="s">
        <v>89</v>
      </c>
      <c r="AY173" s="256" t="s">
        <v>130</v>
      </c>
    </row>
    <row r="174" s="2" customFormat="1" ht="24.15" customHeight="1">
      <c r="A174" s="37"/>
      <c r="B174" s="38"/>
      <c r="C174" s="217" t="s">
        <v>160</v>
      </c>
      <c r="D174" s="217" t="s">
        <v>132</v>
      </c>
      <c r="E174" s="218" t="s">
        <v>463</v>
      </c>
      <c r="F174" s="219" t="s">
        <v>464</v>
      </c>
      <c r="G174" s="220" t="s">
        <v>224</v>
      </c>
      <c r="H174" s="221">
        <v>20</v>
      </c>
      <c r="I174" s="222"/>
      <c r="J174" s="223">
        <f>ROUND(I174*H174,2)</f>
        <v>0</v>
      </c>
      <c r="K174" s="219" t="s">
        <v>136</v>
      </c>
      <c r="L174" s="43"/>
      <c r="M174" s="224" t="s">
        <v>1</v>
      </c>
      <c r="N174" s="225" t="s">
        <v>46</v>
      </c>
      <c r="O174" s="90"/>
      <c r="P174" s="226">
        <f>O174*H174</f>
        <v>0</v>
      </c>
      <c r="Q174" s="226">
        <v>0</v>
      </c>
      <c r="R174" s="226">
        <f>Q174*H174</f>
        <v>0</v>
      </c>
      <c r="S174" s="226">
        <v>0</v>
      </c>
      <c r="T174" s="227">
        <f>S174*H174</f>
        <v>0</v>
      </c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R174" s="228" t="s">
        <v>137</v>
      </c>
      <c r="AT174" s="228" t="s">
        <v>132</v>
      </c>
      <c r="AU174" s="228" t="s">
        <v>91</v>
      </c>
      <c r="AY174" s="16" t="s">
        <v>130</v>
      </c>
      <c r="BE174" s="229">
        <f>IF(N174="základní",J174,0)</f>
        <v>0</v>
      </c>
      <c r="BF174" s="229">
        <f>IF(N174="snížená",J174,0)</f>
        <v>0</v>
      </c>
      <c r="BG174" s="229">
        <f>IF(N174="zákl. přenesená",J174,0)</f>
        <v>0</v>
      </c>
      <c r="BH174" s="229">
        <f>IF(N174="sníž. přenesená",J174,0)</f>
        <v>0</v>
      </c>
      <c r="BI174" s="229">
        <f>IF(N174="nulová",J174,0)</f>
        <v>0</v>
      </c>
      <c r="BJ174" s="16" t="s">
        <v>89</v>
      </c>
      <c r="BK174" s="229">
        <f>ROUND(I174*H174,2)</f>
        <v>0</v>
      </c>
      <c r="BL174" s="16" t="s">
        <v>137</v>
      </c>
      <c r="BM174" s="228" t="s">
        <v>465</v>
      </c>
    </row>
    <row r="175" s="2" customFormat="1">
      <c r="A175" s="37"/>
      <c r="B175" s="38"/>
      <c r="C175" s="39"/>
      <c r="D175" s="230" t="s">
        <v>139</v>
      </c>
      <c r="E175" s="39"/>
      <c r="F175" s="231" t="s">
        <v>464</v>
      </c>
      <c r="G175" s="39"/>
      <c r="H175" s="39"/>
      <c r="I175" s="232"/>
      <c r="J175" s="39"/>
      <c r="K175" s="39"/>
      <c r="L175" s="43"/>
      <c r="M175" s="233"/>
      <c r="N175" s="234"/>
      <c r="O175" s="90"/>
      <c r="P175" s="90"/>
      <c r="Q175" s="90"/>
      <c r="R175" s="90"/>
      <c r="S175" s="90"/>
      <c r="T175" s="91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T175" s="16" t="s">
        <v>139</v>
      </c>
      <c r="AU175" s="16" t="s">
        <v>91</v>
      </c>
    </row>
    <row r="176" s="2" customFormat="1">
      <c r="A176" s="37"/>
      <c r="B176" s="38"/>
      <c r="C176" s="39"/>
      <c r="D176" s="230" t="s">
        <v>140</v>
      </c>
      <c r="E176" s="39"/>
      <c r="F176" s="235" t="s">
        <v>451</v>
      </c>
      <c r="G176" s="39"/>
      <c r="H176" s="39"/>
      <c r="I176" s="232"/>
      <c r="J176" s="39"/>
      <c r="K176" s="39"/>
      <c r="L176" s="43"/>
      <c r="M176" s="233"/>
      <c r="N176" s="234"/>
      <c r="O176" s="90"/>
      <c r="P176" s="90"/>
      <c r="Q176" s="90"/>
      <c r="R176" s="90"/>
      <c r="S176" s="90"/>
      <c r="T176" s="91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T176" s="16" t="s">
        <v>140</v>
      </c>
      <c r="AU176" s="16" t="s">
        <v>91</v>
      </c>
    </row>
    <row r="177" s="13" customFormat="1">
      <c r="A177" s="13"/>
      <c r="B177" s="236"/>
      <c r="C177" s="237"/>
      <c r="D177" s="230" t="s">
        <v>142</v>
      </c>
      <c r="E177" s="238" t="s">
        <v>1</v>
      </c>
      <c r="F177" s="239" t="s">
        <v>461</v>
      </c>
      <c r="G177" s="237"/>
      <c r="H177" s="238" t="s">
        <v>1</v>
      </c>
      <c r="I177" s="240"/>
      <c r="J177" s="237"/>
      <c r="K177" s="237"/>
      <c r="L177" s="241"/>
      <c r="M177" s="242"/>
      <c r="N177" s="243"/>
      <c r="O177" s="243"/>
      <c r="P177" s="243"/>
      <c r="Q177" s="243"/>
      <c r="R177" s="243"/>
      <c r="S177" s="243"/>
      <c r="T177" s="244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5" t="s">
        <v>142</v>
      </c>
      <c r="AU177" s="245" t="s">
        <v>91</v>
      </c>
      <c r="AV177" s="13" t="s">
        <v>89</v>
      </c>
      <c r="AW177" s="13" t="s">
        <v>36</v>
      </c>
      <c r="AX177" s="13" t="s">
        <v>81</v>
      </c>
      <c r="AY177" s="245" t="s">
        <v>130</v>
      </c>
    </row>
    <row r="178" s="14" customFormat="1">
      <c r="A178" s="14"/>
      <c r="B178" s="246"/>
      <c r="C178" s="247"/>
      <c r="D178" s="230" t="s">
        <v>142</v>
      </c>
      <c r="E178" s="248" t="s">
        <v>1</v>
      </c>
      <c r="F178" s="249" t="s">
        <v>462</v>
      </c>
      <c r="G178" s="247"/>
      <c r="H178" s="250">
        <v>20</v>
      </c>
      <c r="I178" s="251"/>
      <c r="J178" s="247"/>
      <c r="K178" s="247"/>
      <c r="L178" s="252"/>
      <c r="M178" s="253"/>
      <c r="N178" s="254"/>
      <c r="O178" s="254"/>
      <c r="P178" s="254"/>
      <c r="Q178" s="254"/>
      <c r="R178" s="254"/>
      <c r="S178" s="254"/>
      <c r="T178" s="255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T178" s="256" t="s">
        <v>142</v>
      </c>
      <c r="AU178" s="256" t="s">
        <v>91</v>
      </c>
      <c r="AV178" s="14" t="s">
        <v>91</v>
      </c>
      <c r="AW178" s="14" t="s">
        <v>36</v>
      </c>
      <c r="AX178" s="14" t="s">
        <v>89</v>
      </c>
      <c r="AY178" s="256" t="s">
        <v>130</v>
      </c>
    </row>
    <row r="179" s="2" customFormat="1" ht="24.15" customHeight="1">
      <c r="A179" s="37"/>
      <c r="B179" s="38"/>
      <c r="C179" s="217" t="s">
        <v>8</v>
      </c>
      <c r="D179" s="217" t="s">
        <v>132</v>
      </c>
      <c r="E179" s="218" t="s">
        <v>466</v>
      </c>
      <c r="F179" s="219" t="s">
        <v>467</v>
      </c>
      <c r="G179" s="220" t="s">
        <v>425</v>
      </c>
      <c r="H179" s="221">
        <v>200</v>
      </c>
      <c r="I179" s="222"/>
      <c r="J179" s="223">
        <f>ROUND(I179*H179,2)</f>
        <v>0</v>
      </c>
      <c r="K179" s="219" t="s">
        <v>136</v>
      </c>
      <c r="L179" s="43"/>
      <c r="M179" s="224" t="s">
        <v>1</v>
      </c>
      <c r="N179" s="225" t="s">
        <v>46</v>
      </c>
      <c r="O179" s="90"/>
      <c r="P179" s="226">
        <f>O179*H179</f>
        <v>0</v>
      </c>
      <c r="Q179" s="226">
        <v>0</v>
      </c>
      <c r="R179" s="226">
        <f>Q179*H179</f>
        <v>0</v>
      </c>
      <c r="S179" s="226">
        <v>0</v>
      </c>
      <c r="T179" s="227">
        <f>S179*H179</f>
        <v>0</v>
      </c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R179" s="228" t="s">
        <v>137</v>
      </c>
      <c r="AT179" s="228" t="s">
        <v>132</v>
      </c>
      <c r="AU179" s="228" t="s">
        <v>91</v>
      </c>
      <c r="AY179" s="16" t="s">
        <v>130</v>
      </c>
      <c r="BE179" s="229">
        <f>IF(N179="základní",J179,0)</f>
        <v>0</v>
      </c>
      <c r="BF179" s="229">
        <f>IF(N179="snížená",J179,0)</f>
        <v>0</v>
      </c>
      <c r="BG179" s="229">
        <f>IF(N179="zákl. přenesená",J179,0)</f>
        <v>0</v>
      </c>
      <c r="BH179" s="229">
        <f>IF(N179="sníž. přenesená",J179,0)</f>
        <v>0</v>
      </c>
      <c r="BI179" s="229">
        <f>IF(N179="nulová",J179,0)</f>
        <v>0</v>
      </c>
      <c r="BJ179" s="16" t="s">
        <v>89</v>
      </c>
      <c r="BK179" s="229">
        <f>ROUND(I179*H179,2)</f>
        <v>0</v>
      </c>
      <c r="BL179" s="16" t="s">
        <v>137</v>
      </c>
      <c r="BM179" s="228" t="s">
        <v>468</v>
      </c>
    </row>
    <row r="180" s="2" customFormat="1">
      <c r="A180" s="37"/>
      <c r="B180" s="38"/>
      <c r="C180" s="39"/>
      <c r="D180" s="230" t="s">
        <v>139</v>
      </c>
      <c r="E180" s="39"/>
      <c r="F180" s="231" t="s">
        <v>467</v>
      </c>
      <c r="G180" s="39"/>
      <c r="H180" s="39"/>
      <c r="I180" s="232"/>
      <c r="J180" s="39"/>
      <c r="K180" s="39"/>
      <c r="L180" s="43"/>
      <c r="M180" s="233"/>
      <c r="N180" s="234"/>
      <c r="O180" s="90"/>
      <c r="P180" s="90"/>
      <c r="Q180" s="90"/>
      <c r="R180" s="90"/>
      <c r="S180" s="90"/>
      <c r="T180" s="91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T180" s="16" t="s">
        <v>139</v>
      </c>
      <c r="AU180" s="16" t="s">
        <v>91</v>
      </c>
    </row>
    <row r="181" s="2" customFormat="1">
      <c r="A181" s="37"/>
      <c r="B181" s="38"/>
      <c r="C181" s="39"/>
      <c r="D181" s="230" t="s">
        <v>140</v>
      </c>
      <c r="E181" s="39"/>
      <c r="F181" s="235" t="s">
        <v>455</v>
      </c>
      <c r="G181" s="39"/>
      <c r="H181" s="39"/>
      <c r="I181" s="232"/>
      <c r="J181" s="39"/>
      <c r="K181" s="39"/>
      <c r="L181" s="43"/>
      <c r="M181" s="233"/>
      <c r="N181" s="234"/>
      <c r="O181" s="90"/>
      <c r="P181" s="90"/>
      <c r="Q181" s="90"/>
      <c r="R181" s="90"/>
      <c r="S181" s="90"/>
      <c r="T181" s="91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T181" s="16" t="s">
        <v>140</v>
      </c>
      <c r="AU181" s="16" t="s">
        <v>91</v>
      </c>
    </row>
    <row r="182" s="13" customFormat="1">
      <c r="A182" s="13"/>
      <c r="B182" s="236"/>
      <c r="C182" s="237"/>
      <c r="D182" s="230" t="s">
        <v>142</v>
      </c>
      <c r="E182" s="238" t="s">
        <v>1</v>
      </c>
      <c r="F182" s="239" t="s">
        <v>461</v>
      </c>
      <c r="G182" s="237"/>
      <c r="H182" s="238" t="s">
        <v>1</v>
      </c>
      <c r="I182" s="240"/>
      <c r="J182" s="237"/>
      <c r="K182" s="237"/>
      <c r="L182" s="241"/>
      <c r="M182" s="242"/>
      <c r="N182" s="243"/>
      <c r="O182" s="243"/>
      <c r="P182" s="243"/>
      <c r="Q182" s="243"/>
      <c r="R182" s="243"/>
      <c r="S182" s="243"/>
      <c r="T182" s="244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5" t="s">
        <v>142</v>
      </c>
      <c r="AU182" s="245" t="s">
        <v>91</v>
      </c>
      <c r="AV182" s="13" t="s">
        <v>89</v>
      </c>
      <c r="AW182" s="13" t="s">
        <v>36</v>
      </c>
      <c r="AX182" s="13" t="s">
        <v>81</v>
      </c>
      <c r="AY182" s="245" t="s">
        <v>130</v>
      </c>
    </row>
    <row r="183" s="13" customFormat="1">
      <c r="A183" s="13"/>
      <c r="B183" s="236"/>
      <c r="C183" s="237"/>
      <c r="D183" s="230" t="s">
        <v>142</v>
      </c>
      <c r="E183" s="238" t="s">
        <v>1</v>
      </c>
      <c r="F183" s="239" t="s">
        <v>469</v>
      </c>
      <c r="G183" s="237"/>
      <c r="H183" s="238" t="s">
        <v>1</v>
      </c>
      <c r="I183" s="240"/>
      <c r="J183" s="237"/>
      <c r="K183" s="237"/>
      <c r="L183" s="241"/>
      <c r="M183" s="242"/>
      <c r="N183" s="243"/>
      <c r="O183" s="243"/>
      <c r="P183" s="243"/>
      <c r="Q183" s="243"/>
      <c r="R183" s="243"/>
      <c r="S183" s="243"/>
      <c r="T183" s="244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5" t="s">
        <v>142</v>
      </c>
      <c r="AU183" s="245" t="s">
        <v>91</v>
      </c>
      <c r="AV183" s="13" t="s">
        <v>89</v>
      </c>
      <c r="AW183" s="13" t="s">
        <v>36</v>
      </c>
      <c r="AX183" s="13" t="s">
        <v>81</v>
      </c>
      <c r="AY183" s="245" t="s">
        <v>130</v>
      </c>
    </row>
    <row r="184" s="14" customFormat="1">
      <c r="A184" s="14"/>
      <c r="B184" s="246"/>
      <c r="C184" s="247"/>
      <c r="D184" s="230" t="s">
        <v>142</v>
      </c>
      <c r="E184" s="248" t="s">
        <v>1</v>
      </c>
      <c r="F184" s="249" t="s">
        <v>470</v>
      </c>
      <c r="G184" s="247"/>
      <c r="H184" s="250">
        <v>200</v>
      </c>
      <c r="I184" s="251"/>
      <c r="J184" s="247"/>
      <c r="K184" s="247"/>
      <c r="L184" s="252"/>
      <c r="M184" s="253"/>
      <c r="N184" s="254"/>
      <c r="O184" s="254"/>
      <c r="P184" s="254"/>
      <c r="Q184" s="254"/>
      <c r="R184" s="254"/>
      <c r="S184" s="254"/>
      <c r="T184" s="255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T184" s="256" t="s">
        <v>142</v>
      </c>
      <c r="AU184" s="256" t="s">
        <v>91</v>
      </c>
      <c r="AV184" s="14" t="s">
        <v>91</v>
      </c>
      <c r="AW184" s="14" t="s">
        <v>36</v>
      </c>
      <c r="AX184" s="14" t="s">
        <v>89</v>
      </c>
      <c r="AY184" s="256" t="s">
        <v>130</v>
      </c>
    </row>
    <row r="185" s="2" customFormat="1" ht="24.15" customHeight="1">
      <c r="A185" s="37"/>
      <c r="B185" s="38"/>
      <c r="C185" s="217" t="s">
        <v>471</v>
      </c>
      <c r="D185" s="217" t="s">
        <v>132</v>
      </c>
      <c r="E185" s="218" t="s">
        <v>472</v>
      </c>
      <c r="F185" s="219" t="s">
        <v>473</v>
      </c>
      <c r="G185" s="220" t="s">
        <v>224</v>
      </c>
      <c r="H185" s="221">
        <v>3</v>
      </c>
      <c r="I185" s="222"/>
      <c r="J185" s="223">
        <f>ROUND(I185*H185,2)</f>
        <v>0</v>
      </c>
      <c r="K185" s="219" t="s">
        <v>136</v>
      </c>
      <c r="L185" s="43"/>
      <c r="M185" s="224" t="s">
        <v>1</v>
      </c>
      <c r="N185" s="225" t="s">
        <v>46</v>
      </c>
      <c r="O185" s="90"/>
      <c r="P185" s="226">
        <f>O185*H185</f>
        <v>0</v>
      </c>
      <c r="Q185" s="226">
        <v>0</v>
      </c>
      <c r="R185" s="226">
        <f>Q185*H185</f>
        <v>0</v>
      </c>
      <c r="S185" s="226">
        <v>0</v>
      </c>
      <c r="T185" s="227">
        <f>S185*H185</f>
        <v>0</v>
      </c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R185" s="228" t="s">
        <v>137</v>
      </c>
      <c r="AT185" s="228" t="s">
        <v>132</v>
      </c>
      <c r="AU185" s="228" t="s">
        <v>91</v>
      </c>
      <c r="AY185" s="16" t="s">
        <v>130</v>
      </c>
      <c r="BE185" s="229">
        <f>IF(N185="základní",J185,0)</f>
        <v>0</v>
      </c>
      <c r="BF185" s="229">
        <f>IF(N185="snížená",J185,0)</f>
        <v>0</v>
      </c>
      <c r="BG185" s="229">
        <f>IF(N185="zákl. přenesená",J185,0)</f>
        <v>0</v>
      </c>
      <c r="BH185" s="229">
        <f>IF(N185="sníž. přenesená",J185,0)</f>
        <v>0</v>
      </c>
      <c r="BI185" s="229">
        <f>IF(N185="nulová",J185,0)</f>
        <v>0</v>
      </c>
      <c r="BJ185" s="16" t="s">
        <v>89</v>
      </c>
      <c r="BK185" s="229">
        <f>ROUND(I185*H185,2)</f>
        <v>0</v>
      </c>
      <c r="BL185" s="16" t="s">
        <v>137</v>
      </c>
      <c r="BM185" s="228" t="s">
        <v>474</v>
      </c>
    </row>
    <row r="186" s="2" customFormat="1">
      <c r="A186" s="37"/>
      <c r="B186" s="38"/>
      <c r="C186" s="39"/>
      <c r="D186" s="230" t="s">
        <v>139</v>
      </c>
      <c r="E186" s="39"/>
      <c r="F186" s="231" t="s">
        <v>473</v>
      </c>
      <c r="G186" s="39"/>
      <c r="H186" s="39"/>
      <c r="I186" s="232"/>
      <c r="J186" s="39"/>
      <c r="K186" s="39"/>
      <c r="L186" s="43"/>
      <c r="M186" s="233"/>
      <c r="N186" s="234"/>
      <c r="O186" s="90"/>
      <c r="P186" s="90"/>
      <c r="Q186" s="90"/>
      <c r="R186" s="90"/>
      <c r="S186" s="90"/>
      <c r="T186" s="91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T186" s="16" t="s">
        <v>139</v>
      </c>
      <c r="AU186" s="16" t="s">
        <v>91</v>
      </c>
    </row>
    <row r="187" s="2" customFormat="1">
      <c r="A187" s="37"/>
      <c r="B187" s="38"/>
      <c r="C187" s="39"/>
      <c r="D187" s="230" t="s">
        <v>140</v>
      </c>
      <c r="E187" s="39"/>
      <c r="F187" s="235" t="s">
        <v>460</v>
      </c>
      <c r="G187" s="39"/>
      <c r="H187" s="39"/>
      <c r="I187" s="232"/>
      <c r="J187" s="39"/>
      <c r="K187" s="39"/>
      <c r="L187" s="43"/>
      <c r="M187" s="233"/>
      <c r="N187" s="234"/>
      <c r="O187" s="90"/>
      <c r="P187" s="90"/>
      <c r="Q187" s="90"/>
      <c r="R187" s="90"/>
      <c r="S187" s="90"/>
      <c r="T187" s="91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T187" s="16" t="s">
        <v>140</v>
      </c>
      <c r="AU187" s="16" t="s">
        <v>91</v>
      </c>
    </row>
    <row r="188" s="13" customFormat="1">
      <c r="A188" s="13"/>
      <c r="B188" s="236"/>
      <c r="C188" s="237"/>
      <c r="D188" s="230" t="s">
        <v>142</v>
      </c>
      <c r="E188" s="238" t="s">
        <v>1</v>
      </c>
      <c r="F188" s="239" t="s">
        <v>447</v>
      </c>
      <c r="G188" s="237"/>
      <c r="H188" s="238" t="s">
        <v>1</v>
      </c>
      <c r="I188" s="240"/>
      <c r="J188" s="237"/>
      <c r="K188" s="237"/>
      <c r="L188" s="241"/>
      <c r="M188" s="242"/>
      <c r="N188" s="243"/>
      <c r="O188" s="243"/>
      <c r="P188" s="243"/>
      <c r="Q188" s="243"/>
      <c r="R188" s="243"/>
      <c r="S188" s="243"/>
      <c r="T188" s="244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5" t="s">
        <v>142</v>
      </c>
      <c r="AU188" s="245" t="s">
        <v>91</v>
      </c>
      <c r="AV188" s="13" t="s">
        <v>89</v>
      </c>
      <c r="AW188" s="13" t="s">
        <v>36</v>
      </c>
      <c r="AX188" s="13" t="s">
        <v>81</v>
      </c>
      <c r="AY188" s="245" t="s">
        <v>130</v>
      </c>
    </row>
    <row r="189" s="14" customFormat="1">
      <c r="A189" s="14"/>
      <c r="B189" s="246"/>
      <c r="C189" s="247"/>
      <c r="D189" s="230" t="s">
        <v>142</v>
      </c>
      <c r="E189" s="248" t="s">
        <v>1</v>
      </c>
      <c r="F189" s="249" t="s">
        <v>422</v>
      </c>
      <c r="G189" s="247"/>
      <c r="H189" s="250">
        <v>3</v>
      </c>
      <c r="I189" s="251"/>
      <c r="J189" s="247"/>
      <c r="K189" s="247"/>
      <c r="L189" s="252"/>
      <c r="M189" s="253"/>
      <c r="N189" s="254"/>
      <c r="O189" s="254"/>
      <c r="P189" s="254"/>
      <c r="Q189" s="254"/>
      <c r="R189" s="254"/>
      <c r="S189" s="254"/>
      <c r="T189" s="255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T189" s="256" t="s">
        <v>142</v>
      </c>
      <c r="AU189" s="256" t="s">
        <v>91</v>
      </c>
      <c r="AV189" s="14" t="s">
        <v>91</v>
      </c>
      <c r="AW189" s="14" t="s">
        <v>36</v>
      </c>
      <c r="AX189" s="14" t="s">
        <v>89</v>
      </c>
      <c r="AY189" s="256" t="s">
        <v>130</v>
      </c>
    </row>
    <row r="190" s="2" customFormat="1" ht="21.75" customHeight="1">
      <c r="A190" s="37"/>
      <c r="B190" s="38"/>
      <c r="C190" s="217" t="s">
        <v>228</v>
      </c>
      <c r="D190" s="217" t="s">
        <v>132</v>
      </c>
      <c r="E190" s="218" t="s">
        <v>475</v>
      </c>
      <c r="F190" s="219" t="s">
        <v>476</v>
      </c>
      <c r="G190" s="220" t="s">
        <v>224</v>
      </c>
      <c r="H190" s="221">
        <v>3</v>
      </c>
      <c r="I190" s="222"/>
      <c r="J190" s="223">
        <f>ROUND(I190*H190,2)</f>
        <v>0</v>
      </c>
      <c r="K190" s="219" t="s">
        <v>136</v>
      </c>
      <c r="L190" s="43"/>
      <c r="M190" s="224" t="s">
        <v>1</v>
      </c>
      <c r="N190" s="225" t="s">
        <v>46</v>
      </c>
      <c r="O190" s="90"/>
      <c r="P190" s="226">
        <f>O190*H190</f>
        <v>0</v>
      </c>
      <c r="Q190" s="226">
        <v>0</v>
      </c>
      <c r="R190" s="226">
        <f>Q190*H190</f>
        <v>0</v>
      </c>
      <c r="S190" s="226">
        <v>0</v>
      </c>
      <c r="T190" s="227">
        <f>S190*H190</f>
        <v>0</v>
      </c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R190" s="228" t="s">
        <v>137</v>
      </c>
      <c r="AT190" s="228" t="s">
        <v>132</v>
      </c>
      <c r="AU190" s="228" t="s">
        <v>91</v>
      </c>
      <c r="AY190" s="16" t="s">
        <v>130</v>
      </c>
      <c r="BE190" s="229">
        <f>IF(N190="základní",J190,0)</f>
        <v>0</v>
      </c>
      <c r="BF190" s="229">
        <f>IF(N190="snížená",J190,0)</f>
        <v>0</v>
      </c>
      <c r="BG190" s="229">
        <f>IF(N190="zákl. přenesená",J190,0)</f>
        <v>0</v>
      </c>
      <c r="BH190" s="229">
        <f>IF(N190="sníž. přenesená",J190,0)</f>
        <v>0</v>
      </c>
      <c r="BI190" s="229">
        <f>IF(N190="nulová",J190,0)</f>
        <v>0</v>
      </c>
      <c r="BJ190" s="16" t="s">
        <v>89</v>
      </c>
      <c r="BK190" s="229">
        <f>ROUND(I190*H190,2)</f>
        <v>0</v>
      </c>
      <c r="BL190" s="16" t="s">
        <v>137</v>
      </c>
      <c r="BM190" s="228" t="s">
        <v>477</v>
      </c>
    </row>
    <row r="191" s="2" customFormat="1">
      <c r="A191" s="37"/>
      <c r="B191" s="38"/>
      <c r="C191" s="39"/>
      <c r="D191" s="230" t="s">
        <v>139</v>
      </c>
      <c r="E191" s="39"/>
      <c r="F191" s="231" t="s">
        <v>476</v>
      </c>
      <c r="G191" s="39"/>
      <c r="H191" s="39"/>
      <c r="I191" s="232"/>
      <c r="J191" s="39"/>
      <c r="K191" s="39"/>
      <c r="L191" s="43"/>
      <c r="M191" s="233"/>
      <c r="N191" s="234"/>
      <c r="O191" s="90"/>
      <c r="P191" s="90"/>
      <c r="Q191" s="90"/>
      <c r="R191" s="90"/>
      <c r="S191" s="90"/>
      <c r="T191" s="91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T191" s="16" t="s">
        <v>139</v>
      </c>
      <c r="AU191" s="16" t="s">
        <v>91</v>
      </c>
    </row>
    <row r="192" s="2" customFormat="1">
      <c r="A192" s="37"/>
      <c r="B192" s="38"/>
      <c r="C192" s="39"/>
      <c r="D192" s="230" t="s">
        <v>140</v>
      </c>
      <c r="E192" s="39"/>
      <c r="F192" s="235" t="s">
        <v>451</v>
      </c>
      <c r="G192" s="39"/>
      <c r="H192" s="39"/>
      <c r="I192" s="232"/>
      <c r="J192" s="39"/>
      <c r="K192" s="39"/>
      <c r="L192" s="43"/>
      <c r="M192" s="233"/>
      <c r="N192" s="234"/>
      <c r="O192" s="90"/>
      <c r="P192" s="90"/>
      <c r="Q192" s="90"/>
      <c r="R192" s="90"/>
      <c r="S192" s="90"/>
      <c r="T192" s="91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T192" s="16" t="s">
        <v>140</v>
      </c>
      <c r="AU192" s="16" t="s">
        <v>91</v>
      </c>
    </row>
    <row r="193" s="13" customFormat="1">
      <c r="A193" s="13"/>
      <c r="B193" s="236"/>
      <c r="C193" s="237"/>
      <c r="D193" s="230" t="s">
        <v>142</v>
      </c>
      <c r="E193" s="238" t="s">
        <v>1</v>
      </c>
      <c r="F193" s="239" t="s">
        <v>447</v>
      </c>
      <c r="G193" s="237"/>
      <c r="H193" s="238" t="s">
        <v>1</v>
      </c>
      <c r="I193" s="240"/>
      <c r="J193" s="237"/>
      <c r="K193" s="237"/>
      <c r="L193" s="241"/>
      <c r="M193" s="242"/>
      <c r="N193" s="243"/>
      <c r="O193" s="243"/>
      <c r="P193" s="243"/>
      <c r="Q193" s="243"/>
      <c r="R193" s="243"/>
      <c r="S193" s="243"/>
      <c r="T193" s="244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5" t="s">
        <v>142</v>
      </c>
      <c r="AU193" s="245" t="s">
        <v>91</v>
      </c>
      <c r="AV193" s="13" t="s">
        <v>89</v>
      </c>
      <c r="AW193" s="13" t="s">
        <v>36</v>
      </c>
      <c r="AX193" s="13" t="s">
        <v>81</v>
      </c>
      <c r="AY193" s="245" t="s">
        <v>130</v>
      </c>
    </row>
    <row r="194" s="14" customFormat="1">
      <c r="A194" s="14"/>
      <c r="B194" s="246"/>
      <c r="C194" s="247"/>
      <c r="D194" s="230" t="s">
        <v>142</v>
      </c>
      <c r="E194" s="248" t="s">
        <v>1</v>
      </c>
      <c r="F194" s="249" t="s">
        <v>422</v>
      </c>
      <c r="G194" s="247"/>
      <c r="H194" s="250">
        <v>3</v>
      </c>
      <c r="I194" s="251"/>
      <c r="J194" s="247"/>
      <c r="K194" s="247"/>
      <c r="L194" s="252"/>
      <c r="M194" s="253"/>
      <c r="N194" s="254"/>
      <c r="O194" s="254"/>
      <c r="P194" s="254"/>
      <c r="Q194" s="254"/>
      <c r="R194" s="254"/>
      <c r="S194" s="254"/>
      <c r="T194" s="255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T194" s="256" t="s">
        <v>142</v>
      </c>
      <c r="AU194" s="256" t="s">
        <v>91</v>
      </c>
      <c r="AV194" s="14" t="s">
        <v>91</v>
      </c>
      <c r="AW194" s="14" t="s">
        <v>36</v>
      </c>
      <c r="AX194" s="14" t="s">
        <v>89</v>
      </c>
      <c r="AY194" s="256" t="s">
        <v>130</v>
      </c>
    </row>
    <row r="195" s="2" customFormat="1" ht="24.15" customHeight="1">
      <c r="A195" s="37"/>
      <c r="B195" s="38"/>
      <c r="C195" s="217" t="s">
        <v>199</v>
      </c>
      <c r="D195" s="217" t="s">
        <v>132</v>
      </c>
      <c r="E195" s="218" t="s">
        <v>478</v>
      </c>
      <c r="F195" s="219" t="s">
        <v>479</v>
      </c>
      <c r="G195" s="220" t="s">
        <v>425</v>
      </c>
      <c r="H195" s="221">
        <v>75</v>
      </c>
      <c r="I195" s="222"/>
      <c r="J195" s="223">
        <f>ROUND(I195*H195,2)</f>
        <v>0</v>
      </c>
      <c r="K195" s="219" t="s">
        <v>136</v>
      </c>
      <c r="L195" s="43"/>
      <c r="M195" s="224" t="s">
        <v>1</v>
      </c>
      <c r="N195" s="225" t="s">
        <v>46</v>
      </c>
      <c r="O195" s="90"/>
      <c r="P195" s="226">
        <f>O195*H195</f>
        <v>0</v>
      </c>
      <c r="Q195" s="226">
        <v>0</v>
      </c>
      <c r="R195" s="226">
        <f>Q195*H195</f>
        <v>0</v>
      </c>
      <c r="S195" s="226">
        <v>0</v>
      </c>
      <c r="T195" s="227">
        <f>S195*H195</f>
        <v>0</v>
      </c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R195" s="228" t="s">
        <v>137</v>
      </c>
      <c r="AT195" s="228" t="s">
        <v>132</v>
      </c>
      <c r="AU195" s="228" t="s">
        <v>91</v>
      </c>
      <c r="AY195" s="16" t="s">
        <v>130</v>
      </c>
      <c r="BE195" s="229">
        <f>IF(N195="základní",J195,0)</f>
        <v>0</v>
      </c>
      <c r="BF195" s="229">
        <f>IF(N195="snížená",J195,0)</f>
        <v>0</v>
      </c>
      <c r="BG195" s="229">
        <f>IF(N195="zákl. přenesená",J195,0)</f>
        <v>0</v>
      </c>
      <c r="BH195" s="229">
        <f>IF(N195="sníž. přenesená",J195,0)</f>
        <v>0</v>
      </c>
      <c r="BI195" s="229">
        <f>IF(N195="nulová",J195,0)</f>
        <v>0</v>
      </c>
      <c r="BJ195" s="16" t="s">
        <v>89</v>
      </c>
      <c r="BK195" s="229">
        <f>ROUND(I195*H195,2)</f>
        <v>0</v>
      </c>
      <c r="BL195" s="16" t="s">
        <v>137</v>
      </c>
      <c r="BM195" s="228" t="s">
        <v>480</v>
      </c>
    </row>
    <row r="196" s="2" customFormat="1">
      <c r="A196" s="37"/>
      <c r="B196" s="38"/>
      <c r="C196" s="39"/>
      <c r="D196" s="230" t="s">
        <v>139</v>
      </c>
      <c r="E196" s="39"/>
      <c r="F196" s="231" t="s">
        <v>479</v>
      </c>
      <c r="G196" s="39"/>
      <c r="H196" s="39"/>
      <c r="I196" s="232"/>
      <c r="J196" s="39"/>
      <c r="K196" s="39"/>
      <c r="L196" s="43"/>
      <c r="M196" s="233"/>
      <c r="N196" s="234"/>
      <c r="O196" s="90"/>
      <c r="P196" s="90"/>
      <c r="Q196" s="90"/>
      <c r="R196" s="90"/>
      <c r="S196" s="90"/>
      <c r="T196" s="91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T196" s="16" t="s">
        <v>139</v>
      </c>
      <c r="AU196" s="16" t="s">
        <v>91</v>
      </c>
    </row>
    <row r="197" s="2" customFormat="1">
      <c r="A197" s="37"/>
      <c r="B197" s="38"/>
      <c r="C197" s="39"/>
      <c r="D197" s="230" t="s">
        <v>140</v>
      </c>
      <c r="E197" s="39"/>
      <c r="F197" s="235" t="s">
        <v>455</v>
      </c>
      <c r="G197" s="39"/>
      <c r="H197" s="39"/>
      <c r="I197" s="232"/>
      <c r="J197" s="39"/>
      <c r="K197" s="39"/>
      <c r="L197" s="43"/>
      <c r="M197" s="233"/>
      <c r="N197" s="234"/>
      <c r="O197" s="90"/>
      <c r="P197" s="90"/>
      <c r="Q197" s="90"/>
      <c r="R197" s="90"/>
      <c r="S197" s="90"/>
      <c r="T197" s="91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T197" s="16" t="s">
        <v>140</v>
      </c>
      <c r="AU197" s="16" t="s">
        <v>91</v>
      </c>
    </row>
    <row r="198" s="13" customFormat="1">
      <c r="A198" s="13"/>
      <c r="B198" s="236"/>
      <c r="C198" s="237"/>
      <c r="D198" s="230" t="s">
        <v>142</v>
      </c>
      <c r="E198" s="238" t="s">
        <v>1</v>
      </c>
      <c r="F198" s="239" t="s">
        <v>447</v>
      </c>
      <c r="G198" s="237"/>
      <c r="H198" s="238" t="s">
        <v>1</v>
      </c>
      <c r="I198" s="240"/>
      <c r="J198" s="237"/>
      <c r="K198" s="237"/>
      <c r="L198" s="241"/>
      <c r="M198" s="242"/>
      <c r="N198" s="243"/>
      <c r="O198" s="243"/>
      <c r="P198" s="243"/>
      <c r="Q198" s="243"/>
      <c r="R198" s="243"/>
      <c r="S198" s="243"/>
      <c r="T198" s="244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T198" s="245" t="s">
        <v>142</v>
      </c>
      <c r="AU198" s="245" t="s">
        <v>91</v>
      </c>
      <c r="AV198" s="13" t="s">
        <v>89</v>
      </c>
      <c r="AW198" s="13" t="s">
        <v>36</v>
      </c>
      <c r="AX198" s="13" t="s">
        <v>81</v>
      </c>
      <c r="AY198" s="245" t="s">
        <v>130</v>
      </c>
    </row>
    <row r="199" s="13" customFormat="1">
      <c r="A199" s="13"/>
      <c r="B199" s="236"/>
      <c r="C199" s="237"/>
      <c r="D199" s="230" t="s">
        <v>142</v>
      </c>
      <c r="E199" s="238" t="s">
        <v>1</v>
      </c>
      <c r="F199" s="239" t="s">
        <v>428</v>
      </c>
      <c r="G199" s="237"/>
      <c r="H199" s="238" t="s">
        <v>1</v>
      </c>
      <c r="I199" s="240"/>
      <c r="J199" s="237"/>
      <c r="K199" s="237"/>
      <c r="L199" s="241"/>
      <c r="M199" s="242"/>
      <c r="N199" s="243"/>
      <c r="O199" s="243"/>
      <c r="P199" s="243"/>
      <c r="Q199" s="243"/>
      <c r="R199" s="243"/>
      <c r="S199" s="243"/>
      <c r="T199" s="244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5" t="s">
        <v>142</v>
      </c>
      <c r="AU199" s="245" t="s">
        <v>91</v>
      </c>
      <c r="AV199" s="13" t="s">
        <v>89</v>
      </c>
      <c r="AW199" s="13" t="s">
        <v>36</v>
      </c>
      <c r="AX199" s="13" t="s">
        <v>81</v>
      </c>
      <c r="AY199" s="245" t="s">
        <v>130</v>
      </c>
    </row>
    <row r="200" s="14" customFormat="1">
      <c r="A200" s="14"/>
      <c r="B200" s="246"/>
      <c r="C200" s="247"/>
      <c r="D200" s="230" t="s">
        <v>142</v>
      </c>
      <c r="E200" s="248" t="s">
        <v>1</v>
      </c>
      <c r="F200" s="249" t="s">
        <v>456</v>
      </c>
      <c r="G200" s="247"/>
      <c r="H200" s="250">
        <v>75</v>
      </c>
      <c r="I200" s="251"/>
      <c r="J200" s="247"/>
      <c r="K200" s="247"/>
      <c r="L200" s="252"/>
      <c r="M200" s="253"/>
      <c r="N200" s="254"/>
      <c r="O200" s="254"/>
      <c r="P200" s="254"/>
      <c r="Q200" s="254"/>
      <c r="R200" s="254"/>
      <c r="S200" s="254"/>
      <c r="T200" s="255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T200" s="256" t="s">
        <v>142</v>
      </c>
      <c r="AU200" s="256" t="s">
        <v>91</v>
      </c>
      <c r="AV200" s="14" t="s">
        <v>91</v>
      </c>
      <c r="AW200" s="14" t="s">
        <v>36</v>
      </c>
      <c r="AX200" s="14" t="s">
        <v>89</v>
      </c>
      <c r="AY200" s="256" t="s">
        <v>130</v>
      </c>
    </row>
    <row r="201" s="2" customFormat="1" ht="24.15" customHeight="1">
      <c r="A201" s="37"/>
      <c r="B201" s="38"/>
      <c r="C201" s="217" t="s">
        <v>481</v>
      </c>
      <c r="D201" s="217" t="s">
        <v>132</v>
      </c>
      <c r="E201" s="218" t="s">
        <v>482</v>
      </c>
      <c r="F201" s="219" t="s">
        <v>483</v>
      </c>
      <c r="G201" s="220" t="s">
        <v>224</v>
      </c>
      <c r="H201" s="221">
        <v>20</v>
      </c>
      <c r="I201" s="222"/>
      <c r="J201" s="223">
        <f>ROUND(I201*H201,2)</f>
        <v>0</v>
      </c>
      <c r="K201" s="219" t="s">
        <v>136</v>
      </c>
      <c r="L201" s="43"/>
      <c r="M201" s="224" t="s">
        <v>1</v>
      </c>
      <c r="N201" s="225" t="s">
        <v>46</v>
      </c>
      <c r="O201" s="90"/>
      <c r="P201" s="226">
        <f>O201*H201</f>
        <v>0</v>
      </c>
      <c r="Q201" s="226">
        <v>0</v>
      </c>
      <c r="R201" s="226">
        <f>Q201*H201</f>
        <v>0</v>
      </c>
      <c r="S201" s="226">
        <v>0</v>
      </c>
      <c r="T201" s="227">
        <f>S201*H201</f>
        <v>0</v>
      </c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R201" s="228" t="s">
        <v>137</v>
      </c>
      <c r="AT201" s="228" t="s">
        <v>132</v>
      </c>
      <c r="AU201" s="228" t="s">
        <v>91</v>
      </c>
      <c r="AY201" s="16" t="s">
        <v>130</v>
      </c>
      <c r="BE201" s="229">
        <f>IF(N201="základní",J201,0)</f>
        <v>0</v>
      </c>
      <c r="BF201" s="229">
        <f>IF(N201="snížená",J201,0)</f>
        <v>0</v>
      </c>
      <c r="BG201" s="229">
        <f>IF(N201="zákl. přenesená",J201,0)</f>
        <v>0</v>
      </c>
      <c r="BH201" s="229">
        <f>IF(N201="sníž. přenesená",J201,0)</f>
        <v>0</v>
      </c>
      <c r="BI201" s="229">
        <f>IF(N201="nulová",J201,0)</f>
        <v>0</v>
      </c>
      <c r="BJ201" s="16" t="s">
        <v>89</v>
      </c>
      <c r="BK201" s="229">
        <f>ROUND(I201*H201,2)</f>
        <v>0</v>
      </c>
      <c r="BL201" s="16" t="s">
        <v>137</v>
      </c>
      <c r="BM201" s="228" t="s">
        <v>484</v>
      </c>
    </row>
    <row r="202" s="2" customFormat="1">
      <c r="A202" s="37"/>
      <c r="B202" s="38"/>
      <c r="C202" s="39"/>
      <c r="D202" s="230" t="s">
        <v>139</v>
      </c>
      <c r="E202" s="39"/>
      <c r="F202" s="231" t="s">
        <v>483</v>
      </c>
      <c r="G202" s="39"/>
      <c r="H202" s="39"/>
      <c r="I202" s="232"/>
      <c r="J202" s="39"/>
      <c r="K202" s="39"/>
      <c r="L202" s="43"/>
      <c r="M202" s="233"/>
      <c r="N202" s="234"/>
      <c r="O202" s="90"/>
      <c r="P202" s="90"/>
      <c r="Q202" s="90"/>
      <c r="R202" s="90"/>
      <c r="S202" s="90"/>
      <c r="T202" s="91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T202" s="16" t="s">
        <v>139</v>
      </c>
      <c r="AU202" s="16" t="s">
        <v>91</v>
      </c>
    </row>
    <row r="203" s="2" customFormat="1">
      <c r="A203" s="37"/>
      <c r="B203" s="38"/>
      <c r="C203" s="39"/>
      <c r="D203" s="230" t="s">
        <v>140</v>
      </c>
      <c r="E203" s="39"/>
      <c r="F203" s="235" t="s">
        <v>460</v>
      </c>
      <c r="G203" s="39"/>
      <c r="H203" s="39"/>
      <c r="I203" s="232"/>
      <c r="J203" s="39"/>
      <c r="K203" s="39"/>
      <c r="L203" s="43"/>
      <c r="M203" s="233"/>
      <c r="N203" s="234"/>
      <c r="O203" s="90"/>
      <c r="P203" s="90"/>
      <c r="Q203" s="90"/>
      <c r="R203" s="90"/>
      <c r="S203" s="90"/>
      <c r="T203" s="91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T203" s="16" t="s">
        <v>140</v>
      </c>
      <c r="AU203" s="16" t="s">
        <v>91</v>
      </c>
    </row>
    <row r="204" s="13" customFormat="1">
      <c r="A204" s="13"/>
      <c r="B204" s="236"/>
      <c r="C204" s="237"/>
      <c r="D204" s="230" t="s">
        <v>142</v>
      </c>
      <c r="E204" s="238" t="s">
        <v>1</v>
      </c>
      <c r="F204" s="239" t="s">
        <v>461</v>
      </c>
      <c r="G204" s="237"/>
      <c r="H204" s="238" t="s">
        <v>1</v>
      </c>
      <c r="I204" s="240"/>
      <c r="J204" s="237"/>
      <c r="K204" s="237"/>
      <c r="L204" s="241"/>
      <c r="M204" s="242"/>
      <c r="N204" s="243"/>
      <c r="O204" s="243"/>
      <c r="P204" s="243"/>
      <c r="Q204" s="243"/>
      <c r="R204" s="243"/>
      <c r="S204" s="243"/>
      <c r="T204" s="244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45" t="s">
        <v>142</v>
      </c>
      <c r="AU204" s="245" t="s">
        <v>91</v>
      </c>
      <c r="AV204" s="13" t="s">
        <v>89</v>
      </c>
      <c r="AW204" s="13" t="s">
        <v>36</v>
      </c>
      <c r="AX204" s="13" t="s">
        <v>81</v>
      </c>
      <c r="AY204" s="245" t="s">
        <v>130</v>
      </c>
    </row>
    <row r="205" s="14" customFormat="1">
      <c r="A205" s="14"/>
      <c r="B205" s="246"/>
      <c r="C205" s="247"/>
      <c r="D205" s="230" t="s">
        <v>142</v>
      </c>
      <c r="E205" s="248" t="s">
        <v>1</v>
      </c>
      <c r="F205" s="249" t="s">
        <v>462</v>
      </c>
      <c r="G205" s="247"/>
      <c r="H205" s="250">
        <v>20</v>
      </c>
      <c r="I205" s="251"/>
      <c r="J205" s="247"/>
      <c r="K205" s="247"/>
      <c r="L205" s="252"/>
      <c r="M205" s="253"/>
      <c r="N205" s="254"/>
      <c r="O205" s="254"/>
      <c r="P205" s="254"/>
      <c r="Q205" s="254"/>
      <c r="R205" s="254"/>
      <c r="S205" s="254"/>
      <c r="T205" s="255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T205" s="256" t="s">
        <v>142</v>
      </c>
      <c r="AU205" s="256" t="s">
        <v>91</v>
      </c>
      <c r="AV205" s="14" t="s">
        <v>91</v>
      </c>
      <c r="AW205" s="14" t="s">
        <v>36</v>
      </c>
      <c r="AX205" s="14" t="s">
        <v>89</v>
      </c>
      <c r="AY205" s="256" t="s">
        <v>130</v>
      </c>
    </row>
    <row r="206" s="2" customFormat="1" ht="24.15" customHeight="1">
      <c r="A206" s="37"/>
      <c r="B206" s="38"/>
      <c r="C206" s="217" t="s">
        <v>190</v>
      </c>
      <c r="D206" s="217" t="s">
        <v>132</v>
      </c>
      <c r="E206" s="218" t="s">
        <v>485</v>
      </c>
      <c r="F206" s="219" t="s">
        <v>486</v>
      </c>
      <c r="G206" s="220" t="s">
        <v>224</v>
      </c>
      <c r="H206" s="221">
        <v>20</v>
      </c>
      <c r="I206" s="222"/>
      <c r="J206" s="223">
        <f>ROUND(I206*H206,2)</f>
        <v>0</v>
      </c>
      <c r="K206" s="219" t="s">
        <v>136</v>
      </c>
      <c r="L206" s="43"/>
      <c r="M206" s="224" t="s">
        <v>1</v>
      </c>
      <c r="N206" s="225" t="s">
        <v>46</v>
      </c>
      <c r="O206" s="90"/>
      <c r="P206" s="226">
        <f>O206*H206</f>
        <v>0</v>
      </c>
      <c r="Q206" s="226">
        <v>0</v>
      </c>
      <c r="R206" s="226">
        <f>Q206*H206</f>
        <v>0</v>
      </c>
      <c r="S206" s="226">
        <v>0</v>
      </c>
      <c r="T206" s="227">
        <f>S206*H206</f>
        <v>0</v>
      </c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R206" s="228" t="s">
        <v>137</v>
      </c>
      <c r="AT206" s="228" t="s">
        <v>132</v>
      </c>
      <c r="AU206" s="228" t="s">
        <v>91</v>
      </c>
      <c r="AY206" s="16" t="s">
        <v>130</v>
      </c>
      <c r="BE206" s="229">
        <f>IF(N206="základní",J206,0)</f>
        <v>0</v>
      </c>
      <c r="BF206" s="229">
        <f>IF(N206="snížená",J206,0)</f>
        <v>0</v>
      </c>
      <c r="BG206" s="229">
        <f>IF(N206="zákl. přenesená",J206,0)</f>
        <v>0</v>
      </c>
      <c r="BH206" s="229">
        <f>IF(N206="sníž. přenesená",J206,0)</f>
        <v>0</v>
      </c>
      <c r="BI206" s="229">
        <f>IF(N206="nulová",J206,0)</f>
        <v>0</v>
      </c>
      <c r="BJ206" s="16" t="s">
        <v>89</v>
      </c>
      <c r="BK206" s="229">
        <f>ROUND(I206*H206,2)</f>
        <v>0</v>
      </c>
      <c r="BL206" s="16" t="s">
        <v>137</v>
      </c>
      <c r="BM206" s="228" t="s">
        <v>487</v>
      </c>
    </row>
    <row r="207" s="2" customFormat="1">
      <c r="A207" s="37"/>
      <c r="B207" s="38"/>
      <c r="C207" s="39"/>
      <c r="D207" s="230" t="s">
        <v>139</v>
      </c>
      <c r="E207" s="39"/>
      <c r="F207" s="231" t="s">
        <v>486</v>
      </c>
      <c r="G207" s="39"/>
      <c r="H207" s="39"/>
      <c r="I207" s="232"/>
      <c r="J207" s="39"/>
      <c r="K207" s="39"/>
      <c r="L207" s="43"/>
      <c r="M207" s="233"/>
      <c r="N207" s="234"/>
      <c r="O207" s="90"/>
      <c r="P207" s="90"/>
      <c r="Q207" s="90"/>
      <c r="R207" s="90"/>
      <c r="S207" s="90"/>
      <c r="T207" s="91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T207" s="16" t="s">
        <v>139</v>
      </c>
      <c r="AU207" s="16" t="s">
        <v>91</v>
      </c>
    </row>
    <row r="208" s="2" customFormat="1">
      <c r="A208" s="37"/>
      <c r="B208" s="38"/>
      <c r="C208" s="39"/>
      <c r="D208" s="230" t="s">
        <v>140</v>
      </c>
      <c r="E208" s="39"/>
      <c r="F208" s="235" t="s">
        <v>451</v>
      </c>
      <c r="G208" s="39"/>
      <c r="H208" s="39"/>
      <c r="I208" s="232"/>
      <c r="J208" s="39"/>
      <c r="K208" s="39"/>
      <c r="L208" s="43"/>
      <c r="M208" s="233"/>
      <c r="N208" s="234"/>
      <c r="O208" s="90"/>
      <c r="P208" s="90"/>
      <c r="Q208" s="90"/>
      <c r="R208" s="90"/>
      <c r="S208" s="90"/>
      <c r="T208" s="91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T208" s="16" t="s">
        <v>140</v>
      </c>
      <c r="AU208" s="16" t="s">
        <v>91</v>
      </c>
    </row>
    <row r="209" s="13" customFormat="1">
      <c r="A209" s="13"/>
      <c r="B209" s="236"/>
      <c r="C209" s="237"/>
      <c r="D209" s="230" t="s">
        <v>142</v>
      </c>
      <c r="E209" s="238" t="s">
        <v>1</v>
      </c>
      <c r="F209" s="239" t="s">
        <v>461</v>
      </c>
      <c r="G209" s="237"/>
      <c r="H209" s="238" t="s">
        <v>1</v>
      </c>
      <c r="I209" s="240"/>
      <c r="J209" s="237"/>
      <c r="K209" s="237"/>
      <c r="L209" s="241"/>
      <c r="M209" s="242"/>
      <c r="N209" s="243"/>
      <c r="O209" s="243"/>
      <c r="P209" s="243"/>
      <c r="Q209" s="243"/>
      <c r="R209" s="243"/>
      <c r="S209" s="243"/>
      <c r="T209" s="244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5" t="s">
        <v>142</v>
      </c>
      <c r="AU209" s="245" t="s">
        <v>91</v>
      </c>
      <c r="AV209" s="13" t="s">
        <v>89</v>
      </c>
      <c r="AW209" s="13" t="s">
        <v>36</v>
      </c>
      <c r="AX209" s="13" t="s">
        <v>81</v>
      </c>
      <c r="AY209" s="245" t="s">
        <v>130</v>
      </c>
    </row>
    <row r="210" s="14" customFormat="1">
      <c r="A210" s="14"/>
      <c r="B210" s="246"/>
      <c r="C210" s="247"/>
      <c r="D210" s="230" t="s">
        <v>142</v>
      </c>
      <c r="E210" s="248" t="s">
        <v>1</v>
      </c>
      <c r="F210" s="249" t="s">
        <v>462</v>
      </c>
      <c r="G210" s="247"/>
      <c r="H210" s="250">
        <v>20</v>
      </c>
      <c r="I210" s="251"/>
      <c r="J210" s="247"/>
      <c r="K210" s="247"/>
      <c r="L210" s="252"/>
      <c r="M210" s="253"/>
      <c r="N210" s="254"/>
      <c r="O210" s="254"/>
      <c r="P210" s="254"/>
      <c r="Q210" s="254"/>
      <c r="R210" s="254"/>
      <c r="S210" s="254"/>
      <c r="T210" s="255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T210" s="256" t="s">
        <v>142</v>
      </c>
      <c r="AU210" s="256" t="s">
        <v>91</v>
      </c>
      <c r="AV210" s="14" t="s">
        <v>91</v>
      </c>
      <c r="AW210" s="14" t="s">
        <v>36</v>
      </c>
      <c r="AX210" s="14" t="s">
        <v>89</v>
      </c>
      <c r="AY210" s="256" t="s">
        <v>130</v>
      </c>
    </row>
    <row r="211" s="2" customFormat="1" ht="24.15" customHeight="1">
      <c r="A211" s="37"/>
      <c r="B211" s="38"/>
      <c r="C211" s="217" t="s">
        <v>208</v>
      </c>
      <c r="D211" s="217" t="s">
        <v>132</v>
      </c>
      <c r="E211" s="218" t="s">
        <v>488</v>
      </c>
      <c r="F211" s="219" t="s">
        <v>489</v>
      </c>
      <c r="G211" s="220" t="s">
        <v>425</v>
      </c>
      <c r="H211" s="221">
        <v>200</v>
      </c>
      <c r="I211" s="222"/>
      <c r="J211" s="223">
        <f>ROUND(I211*H211,2)</f>
        <v>0</v>
      </c>
      <c r="K211" s="219" t="s">
        <v>136</v>
      </c>
      <c r="L211" s="43"/>
      <c r="M211" s="224" t="s">
        <v>1</v>
      </c>
      <c r="N211" s="225" t="s">
        <v>46</v>
      </c>
      <c r="O211" s="90"/>
      <c r="P211" s="226">
        <f>O211*H211</f>
        <v>0</v>
      </c>
      <c r="Q211" s="226">
        <v>0</v>
      </c>
      <c r="R211" s="226">
        <f>Q211*H211</f>
        <v>0</v>
      </c>
      <c r="S211" s="226">
        <v>0</v>
      </c>
      <c r="T211" s="227">
        <f>S211*H211</f>
        <v>0</v>
      </c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R211" s="228" t="s">
        <v>137</v>
      </c>
      <c r="AT211" s="228" t="s">
        <v>132</v>
      </c>
      <c r="AU211" s="228" t="s">
        <v>91</v>
      </c>
      <c r="AY211" s="16" t="s">
        <v>130</v>
      </c>
      <c r="BE211" s="229">
        <f>IF(N211="základní",J211,0)</f>
        <v>0</v>
      </c>
      <c r="BF211" s="229">
        <f>IF(N211="snížená",J211,0)</f>
        <v>0</v>
      </c>
      <c r="BG211" s="229">
        <f>IF(N211="zákl. přenesená",J211,0)</f>
        <v>0</v>
      </c>
      <c r="BH211" s="229">
        <f>IF(N211="sníž. přenesená",J211,0)</f>
        <v>0</v>
      </c>
      <c r="BI211" s="229">
        <f>IF(N211="nulová",J211,0)</f>
        <v>0</v>
      </c>
      <c r="BJ211" s="16" t="s">
        <v>89</v>
      </c>
      <c r="BK211" s="229">
        <f>ROUND(I211*H211,2)</f>
        <v>0</v>
      </c>
      <c r="BL211" s="16" t="s">
        <v>137</v>
      </c>
      <c r="BM211" s="228" t="s">
        <v>490</v>
      </c>
    </row>
    <row r="212" s="2" customFormat="1">
      <c r="A212" s="37"/>
      <c r="B212" s="38"/>
      <c r="C212" s="39"/>
      <c r="D212" s="230" t="s">
        <v>139</v>
      </c>
      <c r="E212" s="39"/>
      <c r="F212" s="231" t="s">
        <v>489</v>
      </c>
      <c r="G212" s="39"/>
      <c r="H212" s="39"/>
      <c r="I212" s="232"/>
      <c r="J212" s="39"/>
      <c r="K212" s="39"/>
      <c r="L212" s="43"/>
      <c r="M212" s="233"/>
      <c r="N212" s="234"/>
      <c r="O212" s="90"/>
      <c r="P212" s="90"/>
      <c r="Q212" s="90"/>
      <c r="R212" s="90"/>
      <c r="S212" s="90"/>
      <c r="T212" s="91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T212" s="16" t="s">
        <v>139</v>
      </c>
      <c r="AU212" s="16" t="s">
        <v>91</v>
      </c>
    </row>
    <row r="213" s="2" customFormat="1">
      <c r="A213" s="37"/>
      <c r="B213" s="38"/>
      <c r="C213" s="39"/>
      <c r="D213" s="230" t="s">
        <v>140</v>
      </c>
      <c r="E213" s="39"/>
      <c r="F213" s="235" t="s">
        <v>455</v>
      </c>
      <c r="G213" s="39"/>
      <c r="H213" s="39"/>
      <c r="I213" s="232"/>
      <c r="J213" s="39"/>
      <c r="K213" s="39"/>
      <c r="L213" s="43"/>
      <c r="M213" s="233"/>
      <c r="N213" s="234"/>
      <c r="O213" s="90"/>
      <c r="P213" s="90"/>
      <c r="Q213" s="90"/>
      <c r="R213" s="90"/>
      <c r="S213" s="90"/>
      <c r="T213" s="91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T213" s="16" t="s">
        <v>140</v>
      </c>
      <c r="AU213" s="16" t="s">
        <v>91</v>
      </c>
    </row>
    <row r="214" s="13" customFormat="1">
      <c r="A214" s="13"/>
      <c r="B214" s="236"/>
      <c r="C214" s="237"/>
      <c r="D214" s="230" t="s">
        <v>142</v>
      </c>
      <c r="E214" s="238" t="s">
        <v>1</v>
      </c>
      <c r="F214" s="239" t="s">
        <v>461</v>
      </c>
      <c r="G214" s="237"/>
      <c r="H214" s="238" t="s">
        <v>1</v>
      </c>
      <c r="I214" s="240"/>
      <c r="J214" s="237"/>
      <c r="K214" s="237"/>
      <c r="L214" s="241"/>
      <c r="M214" s="242"/>
      <c r="N214" s="243"/>
      <c r="O214" s="243"/>
      <c r="P214" s="243"/>
      <c r="Q214" s="243"/>
      <c r="R214" s="243"/>
      <c r="S214" s="243"/>
      <c r="T214" s="244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5" t="s">
        <v>142</v>
      </c>
      <c r="AU214" s="245" t="s">
        <v>91</v>
      </c>
      <c r="AV214" s="13" t="s">
        <v>89</v>
      </c>
      <c r="AW214" s="13" t="s">
        <v>36</v>
      </c>
      <c r="AX214" s="13" t="s">
        <v>81</v>
      </c>
      <c r="AY214" s="245" t="s">
        <v>130</v>
      </c>
    </row>
    <row r="215" s="13" customFormat="1">
      <c r="A215" s="13"/>
      <c r="B215" s="236"/>
      <c r="C215" s="237"/>
      <c r="D215" s="230" t="s">
        <v>142</v>
      </c>
      <c r="E215" s="238" t="s">
        <v>1</v>
      </c>
      <c r="F215" s="239" t="s">
        <v>469</v>
      </c>
      <c r="G215" s="237"/>
      <c r="H215" s="238" t="s">
        <v>1</v>
      </c>
      <c r="I215" s="240"/>
      <c r="J215" s="237"/>
      <c r="K215" s="237"/>
      <c r="L215" s="241"/>
      <c r="M215" s="242"/>
      <c r="N215" s="243"/>
      <c r="O215" s="243"/>
      <c r="P215" s="243"/>
      <c r="Q215" s="243"/>
      <c r="R215" s="243"/>
      <c r="S215" s="243"/>
      <c r="T215" s="244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5" t="s">
        <v>142</v>
      </c>
      <c r="AU215" s="245" t="s">
        <v>91</v>
      </c>
      <c r="AV215" s="13" t="s">
        <v>89</v>
      </c>
      <c r="AW215" s="13" t="s">
        <v>36</v>
      </c>
      <c r="AX215" s="13" t="s">
        <v>81</v>
      </c>
      <c r="AY215" s="245" t="s">
        <v>130</v>
      </c>
    </row>
    <row r="216" s="14" customFormat="1">
      <c r="A216" s="14"/>
      <c r="B216" s="246"/>
      <c r="C216" s="247"/>
      <c r="D216" s="230" t="s">
        <v>142</v>
      </c>
      <c r="E216" s="248" t="s">
        <v>1</v>
      </c>
      <c r="F216" s="249" t="s">
        <v>470</v>
      </c>
      <c r="G216" s="247"/>
      <c r="H216" s="250">
        <v>200</v>
      </c>
      <c r="I216" s="251"/>
      <c r="J216" s="247"/>
      <c r="K216" s="247"/>
      <c r="L216" s="252"/>
      <c r="M216" s="253"/>
      <c r="N216" s="254"/>
      <c r="O216" s="254"/>
      <c r="P216" s="254"/>
      <c r="Q216" s="254"/>
      <c r="R216" s="254"/>
      <c r="S216" s="254"/>
      <c r="T216" s="255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T216" s="256" t="s">
        <v>142</v>
      </c>
      <c r="AU216" s="256" t="s">
        <v>91</v>
      </c>
      <c r="AV216" s="14" t="s">
        <v>91</v>
      </c>
      <c r="AW216" s="14" t="s">
        <v>36</v>
      </c>
      <c r="AX216" s="14" t="s">
        <v>89</v>
      </c>
      <c r="AY216" s="256" t="s">
        <v>130</v>
      </c>
    </row>
    <row r="217" s="2" customFormat="1" ht="33" customHeight="1">
      <c r="A217" s="37"/>
      <c r="B217" s="38"/>
      <c r="C217" s="260" t="s">
        <v>491</v>
      </c>
      <c r="D217" s="260" t="s">
        <v>163</v>
      </c>
      <c r="E217" s="261" t="s">
        <v>492</v>
      </c>
      <c r="F217" s="262" t="s">
        <v>493</v>
      </c>
      <c r="G217" s="263" t="s">
        <v>494</v>
      </c>
      <c r="H217" s="264">
        <v>1</v>
      </c>
      <c r="I217" s="265"/>
      <c r="J217" s="266">
        <f>ROUND(I217*H217,2)</f>
        <v>0</v>
      </c>
      <c r="K217" s="262" t="s">
        <v>136</v>
      </c>
      <c r="L217" s="267"/>
      <c r="M217" s="268" t="s">
        <v>1</v>
      </c>
      <c r="N217" s="269" t="s">
        <v>46</v>
      </c>
      <c r="O217" s="90"/>
      <c r="P217" s="226">
        <f>O217*H217</f>
        <v>0</v>
      </c>
      <c r="Q217" s="226">
        <v>0</v>
      </c>
      <c r="R217" s="226">
        <f>Q217*H217</f>
        <v>0</v>
      </c>
      <c r="S217" s="226">
        <v>0</v>
      </c>
      <c r="T217" s="227">
        <f>S217*H217</f>
        <v>0</v>
      </c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R217" s="228" t="s">
        <v>217</v>
      </c>
      <c r="AT217" s="228" t="s">
        <v>163</v>
      </c>
      <c r="AU217" s="228" t="s">
        <v>91</v>
      </c>
      <c r="AY217" s="16" t="s">
        <v>130</v>
      </c>
      <c r="BE217" s="229">
        <f>IF(N217="základní",J217,0)</f>
        <v>0</v>
      </c>
      <c r="BF217" s="229">
        <f>IF(N217="snížená",J217,0)</f>
        <v>0</v>
      </c>
      <c r="BG217" s="229">
        <f>IF(N217="zákl. přenesená",J217,0)</f>
        <v>0</v>
      </c>
      <c r="BH217" s="229">
        <f>IF(N217="sníž. přenesená",J217,0)</f>
        <v>0</v>
      </c>
      <c r="BI217" s="229">
        <f>IF(N217="nulová",J217,0)</f>
        <v>0</v>
      </c>
      <c r="BJ217" s="16" t="s">
        <v>89</v>
      </c>
      <c r="BK217" s="229">
        <f>ROUND(I217*H217,2)</f>
        <v>0</v>
      </c>
      <c r="BL217" s="16" t="s">
        <v>137</v>
      </c>
      <c r="BM217" s="228" t="s">
        <v>495</v>
      </c>
    </row>
    <row r="218" s="2" customFormat="1">
      <c r="A218" s="37"/>
      <c r="B218" s="38"/>
      <c r="C218" s="39"/>
      <c r="D218" s="230" t="s">
        <v>139</v>
      </c>
      <c r="E218" s="39"/>
      <c r="F218" s="231" t="s">
        <v>496</v>
      </c>
      <c r="G218" s="39"/>
      <c r="H218" s="39"/>
      <c r="I218" s="232"/>
      <c r="J218" s="39"/>
      <c r="K218" s="39"/>
      <c r="L218" s="43"/>
      <c r="M218" s="233"/>
      <c r="N218" s="234"/>
      <c r="O218" s="90"/>
      <c r="P218" s="90"/>
      <c r="Q218" s="90"/>
      <c r="R218" s="90"/>
      <c r="S218" s="90"/>
      <c r="T218" s="91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T218" s="16" t="s">
        <v>139</v>
      </c>
      <c r="AU218" s="16" t="s">
        <v>91</v>
      </c>
    </row>
    <row r="219" s="13" customFormat="1">
      <c r="A219" s="13"/>
      <c r="B219" s="236"/>
      <c r="C219" s="237"/>
      <c r="D219" s="230" t="s">
        <v>142</v>
      </c>
      <c r="E219" s="238" t="s">
        <v>1</v>
      </c>
      <c r="F219" s="239" t="s">
        <v>497</v>
      </c>
      <c r="G219" s="237"/>
      <c r="H219" s="238" t="s">
        <v>1</v>
      </c>
      <c r="I219" s="240"/>
      <c r="J219" s="237"/>
      <c r="K219" s="237"/>
      <c r="L219" s="241"/>
      <c r="M219" s="242"/>
      <c r="N219" s="243"/>
      <c r="O219" s="243"/>
      <c r="P219" s="243"/>
      <c r="Q219" s="243"/>
      <c r="R219" s="243"/>
      <c r="S219" s="243"/>
      <c r="T219" s="244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5" t="s">
        <v>142</v>
      </c>
      <c r="AU219" s="245" t="s">
        <v>91</v>
      </c>
      <c r="AV219" s="13" t="s">
        <v>89</v>
      </c>
      <c r="AW219" s="13" t="s">
        <v>36</v>
      </c>
      <c r="AX219" s="13" t="s">
        <v>81</v>
      </c>
      <c r="AY219" s="245" t="s">
        <v>130</v>
      </c>
    </row>
    <row r="220" s="14" customFormat="1">
      <c r="A220" s="14"/>
      <c r="B220" s="246"/>
      <c r="C220" s="247"/>
      <c r="D220" s="230" t="s">
        <v>142</v>
      </c>
      <c r="E220" s="248" t="s">
        <v>1</v>
      </c>
      <c r="F220" s="249" t="s">
        <v>89</v>
      </c>
      <c r="G220" s="247"/>
      <c r="H220" s="250">
        <v>1</v>
      </c>
      <c r="I220" s="251"/>
      <c r="J220" s="247"/>
      <c r="K220" s="247"/>
      <c r="L220" s="252"/>
      <c r="M220" s="257"/>
      <c r="N220" s="258"/>
      <c r="O220" s="258"/>
      <c r="P220" s="258"/>
      <c r="Q220" s="258"/>
      <c r="R220" s="258"/>
      <c r="S220" s="258"/>
      <c r="T220" s="259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T220" s="256" t="s">
        <v>142</v>
      </c>
      <c r="AU220" s="256" t="s">
        <v>91</v>
      </c>
      <c r="AV220" s="14" t="s">
        <v>91</v>
      </c>
      <c r="AW220" s="14" t="s">
        <v>36</v>
      </c>
      <c r="AX220" s="14" t="s">
        <v>89</v>
      </c>
      <c r="AY220" s="256" t="s">
        <v>130</v>
      </c>
    </row>
    <row r="221" s="2" customFormat="1" ht="6.96" customHeight="1">
      <c r="A221" s="37"/>
      <c r="B221" s="65"/>
      <c r="C221" s="66"/>
      <c r="D221" s="66"/>
      <c r="E221" s="66"/>
      <c r="F221" s="66"/>
      <c r="G221" s="66"/>
      <c r="H221" s="66"/>
      <c r="I221" s="66"/>
      <c r="J221" s="66"/>
      <c r="K221" s="66"/>
      <c r="L221" s="43"/>
      <c r="M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</row>
  </sheetData>
  <sheetProtection sheet="1" autoFilter="0" formatColumns="0" formatRows="0" objects="1" scenarios="1" spinCount="100000" saltValue="tvWvC2nCBe8Wlub98FQ1jMoRozJbh+7HAhlRyMYEVIrOK4Ag0C/5x4SSqJy/Xxe1rnKjvhJIXvbkuu0ITlwDaw==" hashValue="ge4c7hwGBL8DNpH6juu15fFG2T1zSHepWqn/ebURCGnUSecA04I4HUiNfl3caaoNEi/FfSZwxUyf/P2RfpV34w==" algorithmName="SHA-512" password="C724"/>
  <autoFilter ref="C117:K220"/>
  <mergeCells count="9">
    <mergeCell ref="E7:H7"/>
    <mergeCell ref="E9:H9"/>
    <mergeCell ref="E18:H18"/>
    <mergeCell ref="E27:H27"/>
    <mergeCell ref="E85:H85"/>
    <mergeCell ref="E87:H87"/>
    <mergeCell ref="E108:H108"/>
    <mergeCell ref="E110:H110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100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III/0236 Dobšice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498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17. 11. 2024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ROUND(J117,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ROUND((SUM(BE117:BE130)),  2)</f>
        <v>0</v>
      </c>
      <c r="G33" s="37"/>
      <c r="H33" s="37"/>
      <c r="I33" s="154">
        <v>0.20999999999999999</v>
      </c>
      <c r="J33" s="153">
        <f>ROUND(((SUM(BE117:BE130))*I33),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ROUND((SUM(BF117:BF130)),  2)</f>
        <v>0</v>
      </c>
      <c r="G34" s="37"/>
      <c r="H34" s="37"/>
      <c r="I34" s="154">
        <v>0.12</v>
      </c>
      <c r="J34" s="153">
        <f>ROUND(((SUM(BF117:BF130))*I34),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ROUND((SUM(BG117:BG130)),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ROUND((SUM(BH117:BH130)),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ROUND((SUM(BI117:BI130)),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III/0236 Dobšice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 xml:space="preserve">SO104 - Doplňující údaje 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Dobšice</v>
      </c>
      <c r="G89" s="39"/>
      <c r="H89" s="39"/>
      <c r="I89" s="31" t="s">
        <v>22</v>
      </c>
      <c r="J89" s="78" t="str">
        <f>IF(J12="","",J12)</f>
        <v>17. 11. 2024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J117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114</v>
      </c>
      <c r="E97" s="181"/>
      <c r="F97" s="181"/>
      <c r="G97" s="181"/>
      <c r="H97" s="181"/>
      <c r="I97" s="181"/>
      <c r="J97" s="182">
        <f>J118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2" customFormat="1" ht="21.84" customHeight="1">
      <c r="A98" s="37"/>
      <c r="B98" s="38"/>
      <c r="C98" s="39"/>
      <c r="D98" s="39"/>
      <c r="E98" s="39"/>
      <c r="F98" s="39"/>
      <c r="G98" s="39"/>
      <c r="H98" s="39"/>
      <c r="I98" s="39"/>
      <c r="J98" s="39"/>
      <c r="K98" s="39"/>
      <c r="L98" s="62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</row>
    <row r="99" s="2" customFormat="1" ht="6.96" customHeight="1">
      <c r="A99" s="37"/>
      <c r="B99" s="65"/>
      <c r="C99" s="66"/>
      <c r="D99" s="66"/>
      <c r="E99" s="66"/>
      <c r="F99" s="66"/>
      <c r="G99" s="66"/>
      <c r="H99" s="66"/>
      <c r="I99" s="66"/>
      <c r="J99" s="66"/>
      <c r="K99" s="66"/>
      <c r="L99" s="62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3" s="2" customFormat="1" ht="6.96" customHeight="1">
      <c r="A103" s="37"/>
      <c r="B103" s="67"/>
      <c r="C103" s="68"/>
      <c r="D103" s="68"/>
      <c r="E103" s="68"/>
      <c r="F103" s="68"/>
      <c r="G103" s="68"/>
      <c r="H103" s="68"/>
      <c r="I103" s="68"/>
      <c r="J103" s="68"/>
      <c r="K103" s="68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24.96" customHeight="1">
      <c r="A104" s="37"/>
      <c r="B104" s="38"/>
      <c r="C104" s="22" t="s">
        <v>115</v>
      </c>
      <c r="D104" s="39"/>
      <c r="E104" s="39"/>
      <c r="F104" s="39"/>
      <c r="G104" s="39"/>
      <c r="H104" s="39"/>
      <c r="I104" s="39"/>
      <c r="J104" s="39"/>
      <c r="K104" s="39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 s="2" customFormat="1" ht="6.96" customHeight="1">
      <c r="A105" s="37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12" customHeight="1">
      <c r="A106" s="37"/>
      <c r="B106" s="38"/>
      <c r="C106" s="31" t="s">
        <v>16</v>
      </c>
      <c r="D106" s="39"/>
      <c r="E106" s="39"/>
      <c r="F106" s="39"/>
      <c r="G106" s="39"/>
      <c r="H106" s="39"/>
      <c r="I106" s="39"/>
      <c r="J106" s="39"/>
      <c r="K106" s="39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="2" customFormat="1" ht="16.5" customHeight="1">
      <c r="A107" s="37"/>
      <c r="B107" s="38"/>
      <c r="C107" s="39"/>
      <c r="D107" s="39"/>
      <c r="E107" s="173" t="str">
        <f>E7</f>
        <v>Oprava silnice III/0236 Dobšice</v>
      </c>
      <c r="F107" s="31"/>
      <c r="G107" s="31"/>
      <c r="H107" s="31"/>
      <c r="I107" s="39"/>
      <c r="J107" s="39"/>
      <c r="K107" s="39"/>
      <c r="L107" s="62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="2" customFormat="1" ht="12" customHeight="1">
      <c r="A108" s="37"/>
      <c r="B108" s="38"/>
      <c r="C108" s="31" t="s">
        <v>102</v>
      </c>
      <c r="D108" s="39"/>
      <c r="E108" s="39"/>
      <c r="F108" s="39"/>
      <c r="G108" s="39"/>
      <c r="H108" s="39"/>
      <c r="I108" s="39"/>
      <c r="J108" s="39"/>
      <c r="K108" s="39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16.5" customHeight="1">
      <c r="A109" s="37"/>
      <c r="B109" s="38"/>
      <c r="C109" s="39"/>
      <c r="D109" s="39"/>
      <c r="E109" s="75" t="str">
        <f>E9</f>
        <v xml:space="preserve">SO104 - Doplňující údaje </v>
      </c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20</v>
      </c>
      <c r="D111" s="39"/>
      <c r="E111" s="39"/>
      <c r="F111" s="26" t="str">
        <f>F12</f>
        <v>Dobšice</v>
      </c>
      <c r="G111" s="39"/>
      <c r="H111" s="39"/>
      <c r="I111" s="31" t="s">
        <v>22</v>
      </c>
      <c r="J111" s="78" t="str">
        <f>IF(J12="","",J12)</f>
        <v>17. 11. 2024</v>
      </c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6.96" customHeight="1">
      <c r="A112" s="37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40.05" customHeight="1">
      <c r="A113" s="37"/>
      <c r="B113" s="38"/>
      <c r="C113" s="31" t="s">
        <v>24</v>
      </c>
      <c r="D113" s="39"/>
      <c r="E113" s="39"/>
      <c r="F113" s="26" t="str">
        <f>E15</f>
        <v>Jihočeský kraj</v>
      </c>
      <c r="G113" s="39"/>
      <c r="H113" s="39"/>
      <c r="I113" s="31" t="s">
        <v>32</v>
      </c>
      <c r="J113" s="35" t="str">
        <f>E21</f>
        <v>Správa a údržba silnic Jihočeského kraje p.o.</v>
      </c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25.65" customHeight="1">
      <c r="A114" s="37"/>
      <c r="B114" s="38"/>
      <c r="C114" s="31" t="s">
        <v>30</v>
      </c>
      <c r="D114" s="39"/>
      <c r="E114" s="39"/>
      <c r="F114" s="26" t="str">
        <f>IF(E18="","",E18)</f>
        <v>Vyplň údaj</v>
      </c>
      <c r="G114" s="39"/>
      <c r="H114" s="39"/>
      <c r="I114" s="31" t="s">
        <v>37</v>
      </c>
      <c r="J114" s="35" t="str">
        <f>E24</f>
        <v>Petr Nachtigal 606 633 836</v>
      </c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10.32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11" customFormat="1" ht="29.28" customHeight="1">
      <c r="A116" s="190"/>
      <c r="B116" s="191"/>
      <c r="C116" s="192" t="s">
        <v>116</v>
      </c>
      <c r="D116" s="193" t="s">
        <v>66</v>
      </c>
      <c r="E116" s="193" t="s">
        <v>62</v>
      </c>
      <c r="F116" s="193" t="s">
        <v>63</v>
      </c>
      <c r="G116" s="193" t="s">
        <v>117</v>
      </c>
      <c r="H116" s="193" t="s">
        <v>118</v>
      </c>
      <c r="I116" s="193" t="s">
        <v>119</v>
      </c>
      <c r="J116" s="193" t="s">
        <v>106</v>
      </c>
      <c r="K116" s="194" t="s">
        <v>120</v>
      </c>
      <c r="L116" s="195"/>
      <c r="M116" s="99" t="s">
        <v>1</v>
      </c>
      <c r="N116" s="100" t="s">
        <v>45</v>
      </c>
      <c r="O116" s="100" t="s">
        <v>121</v>
      </c>
      <c r="P116" s="100" t="s">
        <v>122</v>
      </c>
      <c r="Q116" s="100" t="s">
        <v>123</v>
      </c>
      <c r="R116" s="100" t="s">
        <v>124</v>
      </c>
      <c r="S116" s="100" t="s">
        <v>125</v>
      </c>
      <c r="T116" s="101" t="s">
        <v>126</v>
      </c>
      <c r="U116" s="190"/>
      <c r="V116" s="190"/>
      <c r="W116" s="190"/>
      <c r="X116" s="190"/>
      <c r="Y116" s="190"/>
      <c r="Z116" s="190"/>
      <c r="AA116" s="190"/>
      <c r="AB116" s="190"/>
      <c r="AC116" s="190"/>
      <c r="AD116" s="190"/>
      <c r="AE116" s="190"/>
    </row>
    <row r="117" s="2" customFormat="1" ht="22.8" customHeight="1">
      <c r="A117" s="37"/>
      <c r="B117" s="38"/>
      <c r="C117" s="106" t="s">
        <v>127</v>
      </c>
      <c r="D117" s="39"/>
      <c r="E117" s="39"/>
      <c r="F117" s="39"/>
      <c r="G117" s="39"/>
      <c r="H117" s="39"/>
      <c r="I117" s="39"/>
      <c r="J117" s="196">
        <f>BK117</f>
        <v>0</v>
      </c>
      <c r="K117" s="39"/>
      <c r="L117" s="43"/>
      <c r="M117" s="102"/>
      <c r="N117" s="197"/>
      <c r="O117" s="103"/>
      <c r="P117" s="198">
        <f>P118</f>
        <v>0</v>
      </c>
      <c r="Q117" s="103"/>
      <c r="R117" s="198">
        <f>R118</f>
        <v>0</v>
      </c>
      <c r="S117" s="103"/>
      <c r="T117" s="199">
        <f>T118</f>
        <v>0</v>
      </c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T117" s="16" t="s">
        <v>80</v>
      </c>
      <c r="AU117" s="16" t="s">
        <v>108</v>
      </c>
      <c r="BK117" s="200">
        <f>BK118</f>
        <v>0</v>
      </c>
    </row>
    <row r="118" s="12" customFormat="1" ht="25.92" customHeight="1">
      <c r="A118" s="12"/>
      <c r="B118" s="201"/>
      <c r="C118" s="202"/>
      <c r="D118" s="203" t="s">
        <v>80</v>
      </c>
      <c r="E118" s="204" t="s">
        <v>235</v>
      </c>
      <c r="F118" s="204" t="s">
        <v>236</v>
      </c>
      <c r="G118" s="202"/>
      <c r="H118" s="202"/>
      <c r="I118" s="205"/>
      <c r="J118" s="206">
        <f>BK118</f>
        <v>0</v>
      </c>
      <c r="K118" s="202"/>
      <c r="L118" s="207"/>
      <c r="M118" s="208"/>
      <c r="N118" s="209"/>
      <c r="O118" s="209"/>
      <c r="P118" s="210">
        <f>SUM(P119:P130)</f>
        <v>0</v>
      </c>
      <c r="Q118" s="209"/>
      <c r="R118" s="210">
        <f>SUM(R119:R130)</f>
        <v>0</v>
      </c>
      <c r="S118" s="209"/>
      <c r="T118" s="211">
        <f>SUM(T119:T130)</f>
        <v>0</v>
      </c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R118" s="212" t="s">
        <v>137</v>
      </c>
      <c r="AT118" s="213" t="s">
        <v>80</v>
      </c>
      <c r="AU118" s="213" t="s">
        <v>81</v>
      </c>
      <c r="AY118" s="212" t="s">
        <v>130</v>
      </c>
      <c r="BK118" s="214">
        <f>SUM(BK119:BK130)</f>
        <v>0</v>
      </c>
    </row>
    <row r="119" s="2" customFormat="1" ht="21.75" customHeight="1">
      <c r="A119" s="37"/>
      <c r="B119" s="38"/>
      <c r="C119" s="217" t="s">
        <v>168</v>
      </c>
      <c r="D119" s="217" t="s">
        <v>132</v>
      </c>
      <c r="E119" s="218" t="s">
        <v>499</v>
      </c>
      <c r="F119" s="219" t="s">
        <v>500</v>
      </c>
      <c r="G119" s="220" t="s">
        <v>501</v>
      </c>
      <c r="H119" s="221">
        <v>1</v>
      </c>
      <c r="I119" s="222"/>
      <c r="J119" s="223">
        <f>ROUND(I119*H119,2)</f>
        <v>0</v>
      </c>
      <c r="K119" s="219" t="s">
        <v>136</v>
      </c>
      <c r="L119" s="43"/>
      <c r="M119" s="224" t="s">
        <v>1</v>
      </c>
      <c r="N119" s="225" t="s">
        <v>46</v>
      </c>
      <c r="O119" s="90"/>
      <c r="P119" s="226">
        <f>O119*H119</f>
        <v>0</v>
      </c>
      <c r="Q119" s="226">
        <v>0</v>
      </c>
      <c r="R119" s="226">
        <f>Q119*H119</f>
        <v>0</v>
      </c>
      <c r="S119" s="226">
        <v>0</v>
      </c>
      <c r="T119" s="227">
        <f>S119*H119</f>
        <v>0</v>
      </c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R119" s="228" t="s">
        <v>241</v>
      </c>
      <c r="AT119" s="228" t="s">
        <v>132</v>
      </c>
      <c r="AU119" s="228" t="s">
        <v>89</v>
      </c>
      <c r="AY119" s="16" t="s">
        <v>130</v>
      </c>
      <c r="BE119" s="229">
        <f>IF(N119="základní",J119,0)</f>
        <v>0</v>
      </c>
      <c r="BF119" s="229">
        <f>IF(N119="snížená",J119,0)</f>
        <v>0</v>
      </c>
      <c r="BG119" s="229">
        <f>IF(N119="zákl. přenesená",J119,0)</f>
        <v>0</v>
      </c>
      <c r="BH119" s="229">
        <f>IF(N119="sníž. přenesená",J119,0)</f>
        <v>0</v>
      </c>
      <c r="BI119" s="229">
        <f>IF(N119="nulová",J119,0)</f>
        <v>0</v>
      </c>
      <c r="BJ119" s="16" t="s">
        <v>89</v>
      </c>
      <c r="BK119" s="229">
        <f>ROUND(I119*H119,2)</f>
        <v>0</v>
      </c>
      <c r="BL119" s="16" t="s">
        <v>241</v>
      </c>
      <c r="BM119" s="228" t="s">
        <v>502</v>
      </c>
    </row>
    <row r="120" s="2" customFormat="1">
      <c r="A120" s="37"/>
      <c r="B120" s="38"/>
      <c r="C120" s="39"/>
      <c r="D120" s="230" t="s">
        <v>139</v>
      </c>
      <c r="E120" s="39"/>
      <c r="F120" s="231" t="s">
        <v>500</v>
      </c>
      <c r="G120" s="39"/>
      <c r="H120" s="39"/>
      <c r="I120" s="232"/>
      <c r="J120" s="39"/>
      <c r="K120" s="39"/>
      <c r="L120" s="43"/>
      <c r="M120" s="233"/>
      <c r="N120" s="234"/>
      <c r="O120" s="90"/>
      <c r="P120" s="90"/>
      <c r="Q120" s="90"/>
      <c r="R120" s="90"/>
      <c r="S120" s="90"/>
      <c r="T120" s="91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T120" s="16" t="s">
        <v>139</v>
      </c>
      <c r="AU120" s="16" t="s">
        <v>89</v>
      </c>
    </row>
    <row r="121" s="2" customFormat="1">
      <c r="A121" s="37"/>
      <c r="B121" s="38"/>
      <c r="C121" s="39"/>
      <c r="D121" s="230" t="s">
        <v>140</v>
      </c>
      <c r="E121" s="39"/>
      <c r="F121" s="235" t="s">
        <v>503</v>
      </c>
      <c r="G121" s="39"/>
      <c r="H121" s="39"/>
      <c r="I121" s="232"/>
      <c r="J121" s="39"/>
      <c r="K121" s="39"/>
      <c r="L121" s="43"/>
      <c r="M121" s="233"/>
      <c r="N121" s="234"/>
      <c r="O121" s="90"/>
      <c r="P121" s="90"/>
      <c r="Q121" s="90"/>
      <c r="R121" s="90"/>
      <c r="S121" s="90"/>
      <c r="T121" s="91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T121" s="16" t="s">
        <v>140</v>
      </c>
      <c r="AU121" s="16" t="s">
        <v>89</v>
      </c>
    </row>
    <row r="122" s="13" customFormat="1">
      <c r="A122" s="13"/>
      <c r="B122" s="236"/>
      <c r="C122" s="237"/>
      <c r="D122" s="230" t="s">
        <v>142</v>
      </c>
      <c r="E122" s="238" t="s">
        <v>1</v>
      </c>
      <c r="F122" s="239" t="s">
        <v>504</v>
      </c>
      <c r="G122" s="237"/>
      <c r="H122" s="238" t="s">
        <v>1</v>
      </c>
      <c r="I122" s="240"/>
      <c r="J122" s="237"/>
      <c r="K122" s="237"/>
      <c r="L122" s="241"/>
      <c r="M122" s="242"/>
      <c r="N122" s="243"/>
      <c r="O122" s="243"/>
      <c r="P122" s="243"/>
      <c r="Q122" s="243"/>
      <c r="R122" s="243"/>
      <c r="S122" s="243"/>
      <c r="T122" s="244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45" t="s">
        <v>142</v>
      </c>
      <c r="AU122" s="245" t="s">
        <v>89</v>
      </c>
      <c r="AV122" s="13" t="s">
        <v>89</v>
      </c>
      <c r="AW122" s="13" t="s">
        <v>36</v>
      </c>
      <c r="AX122" s="13" t="s">
        <v>81</v>
      </c>
      <c r="AY122" s="245" t="s">
        <v>130</v>
      </c>
    </row>
    <row r="123" s="13" customFormat="1">
      <c r="A123" s="13"/>
      <c r="B123" s="236"/>
      <c r="C123" s="237"/>
      <c r="D123" s="230" t="s">
        <v>142</v>
      </c>
      <c r="E123" s="238" t="s">
        <v>1</v>
      </c>
      <c r="F123" s="239" t="s">
        <v>379</v>
      </c>
      <c r="G123" s="237"/>
      <c r="H123" s="238" t="s">
        <v>1</v>
      </c>
      <c r="I123" s="240"/>
      <c r="J123" s="237"/>
      <c r="K123" s="237"/>
      <c r="L123" s="241"/>
      <c r="M123" s="242"/>
      <c r="N123" s="243"/>
      <c r="O123" s="243"/>
      <c r="P123" s="243"/>
      <c r="Q123" s="243"/>
      <c r="R123" s="243"/>
      <c r="S123" s="243"/>
      <c r="T123" s="244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45" t="s">
        <v>142</v>
      </c>
      <c r="AU123" s="245" t="s">
        <v>89</v>
      </c>
      <c r="AV123" s="13" t="s">
        <v>89</v>
      </c>
      <c r="AW123" s="13" t="s">
        <v>36</v>
      </c>
      <c r="AX123" s="13" t="s">
        <v>81</v>
      </c>
      <c r="AY123" s="245" t="s">
        <v>130</v>
      </c>
    </row>
    <row r="124" s="14" customFormat="1">
      <c r="A124" s="14"/>
      <c r="B124" s="246"/>
      <c r="C124" s="247"/>
      <c r="D124" s="230" t="s">
        <v>142</v>
      </c>
      <c r="E124" s="248" t="s">
        <v>1</v>
      </c>
      <c r="F124" s="249" t="s">
        <v>89</v>
      </c>
      <c r="G124" s="247"/>
      <c r="H124" s="250">
        <v>1</v>
      </c>
      <c r="I124" s="251"/>
      <c r="J124" s="247"/>
      <c r="K124" s="247"/>
      <c r="L124" s="252"/>
      <c r="M124" s="253"/>
      <c r="N124" s="254"/>
      <c r="O124" s="254"/>
      <c r="P124" s="254"/>
      <c r="Q124" s="254"/>
      <c r="R124" s="254"/>
      <c r="S124" s="254"/>
      <c r="T124" s="255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T124" s="256" t="s">
        <v>142</v>
      </c>
      <c r="AU124" s="256" t="s">
        <v>89</v>
      </c>
      <c r="AV124" s="14" t="s">
        <v>91</v>
      </c>
      <c r="AW124" s="14" t="s">
        <v>36</v>
      </c>
      <c r="AX124" s="14" t="s">
        <v>89</v>
      </c>
      <c r="AY124" s="256" t="s">
        <v>130</v>
      </c>
    </row>
    <row r="125" s="2" customFormat="1" ht="24.15" customHeight="1">
      <c r="A125" s="37"/>
      <c r="B125" s="38"/>
      <c r="C125" s="217" t="s">
        <v>137</v>
      </c>
      <c r="D125" s="217" t="s">
        <v>132</v>
      </c>
      <c r="E125" s="218" t="s">
        <v>505</v>
      </c>
      <c r="F125" s="219" t="s">
        <v>506</v>
      </c>
      <c r="G125" s="220" t="s">
        <v>224</v>
      </c>
      <c r="H125" s="221">
        <v>1</v>
      </c>
      <c r="I125" s="222"/>
      <c r="J125" s="223">
        <f>ROUND(I125*H125,2)</f>
        <v>0</v>
      </c>
      <c r="K125" s="219" t="s">
        <v>136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241</v>
      </c>
      <c r="AT125" s="228" t="s">
        <v>132</v>
      </c>
      <c r="AU125" s="228" t="s">
        <v>89</v>
      </c>
      <c r="AY125" s="16" t="s">
        <v>130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241</v>
      </c>
      <c r="BM125" s="228" t="s">
        <v>507</v>
      </c>
    </row>
    <row r="126" s="2" customFormat="1">
      <c r="A126" s="37"/>
      <c r="B126" s="38"/>
      <c r="C126" s="39"/>
      <c r="D126" s="230" t="s">
        <v>139</v>
      </c>
      <c r="E126" s="39"/>
      <c r="F126" s="231" t="s">
        <v>506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139</v>
      </c>
      <c r="AU126" s="16" t="s">
        <v>89</v>
      </c>
    </row>
    <row r="127" s="2" customFormat="1">
      <c r="A127" s="37"/>
      <c r="B127" s="38"/>
      <c r="C127" s="39"/>
      <c r="D127" s="230" t="s">
        <v>140</v>
      </c>
      <c r="E127" s="39"/>
      <c r="F127" s="235" t="s">
        <v>508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140</v>
      </c>
      <c r="AU127" s="16" t="s">
        <v>89</v>
      </c>
    </row>
    <row r="128" s="13" customFormat="1">
      <c r="A128" s="13"/>
      <c r="B128" s="236"/>
      <c r="C128" s="237"/>
      <c r="D128" s="230" t="s">
        <v>142</v>
      </c>
      <c r="E128" s="238" t="s">
        <v>1</v>
      </c>
      <c r="F128" s="239" t="s">
        <v>509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142</v>
      </c>
      <c r="AU128" s="245" t="s">
        <v>89</v>
      </c>
      <c r="AV128" s="13" t="s">
        <v>89</v>
      </c>
      <c r="AW128" s="13" t="s">
        <v>36</v>
      </c>
      <c r="AX128" s="13" t="s">
        <v>81</v>
      </c>
      <c r="AY128" s="245" t="s">
        <v>130</v>
      </c>
    </row>
    <row r="129" s="13" customFormat="1">
      <c r="A129" s="13"/>
      <c r="B129" s="236"/>
      <c r="C129" s="237"/>
      <c r="D129" s="230" t="s">
        <v>142</v>
      </c>
      <c r="E129" s="238" t="s">
        <v>1</v>
      </c>
      <c r="F129" s="239" t="s">
        <v>379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142</v>
      </c>
      <c r="AU129" s="245" t="s">
        <v>89</v>
      </c>
      <c r="AV129" s="13" t="s">
        <v>89</v>
      </c>
      <c r="AW129" s="13" t="s">
        <v>36</v>
      </c>
      <c r="AX129" s="13" t="s">
        <v>81</v>
      </c>
      <c r="AY129" s="245" t="s">
        <v>130</v>
      </c>
    </row>
    <row r="130" s="14" customFormat="1">
      <c r="A130" s="14"/>
      <c r="B130" s="246"/>
      <c r="C130" s="247"/>
      <c r="D130" s="230" t="s">
        <v>142</v>
      </c>
      <c r="E130" s="248" t="s">
        <v>1</v>
      </c>
      <c r="F130" s="249" t="s">
        <v>89</v>
      </c>
      <c r="G130" s="247"/>
      <c r="H130" s="250">
        <v>1</v>
      </c>
      <c r="I130" s="251"/>
      <c r="J130" s="247"/>
      <c r="K130" s="247"/>
      <c r="L130" s="252"/>
      <c r="M130" s="257"/>
      <c r="N130" s="258"/>
      <c r="O130" s="258"/>
      <c r="P130" s="258"/>
      <c r="Q130" s="258"/>
      <c r="R130" s="258"/>
      <c r="S130" s="258"/>
      <c r="T130" s="259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T130" s="256" t="s">
        <v>142</v>
      </c>
      <c r="AU130" s="256" t="s">
        <v>89</v>
      </c>
      <c r="AV130" s="14" t="s">
        <v>91</v>
      </c>
      <c r="AW130" s="14" t="s">
        <v>36</v>
      </c>
      <c r="AX130" s="14" t="s">
        <v>89</v>
      </c>
      <c r="AY130" s="256" t="s">
        <v>130</v>
      </c>
    </row>
    <row r="131" s="2" customFormat="1" ht="6.96" customHeight="1">
      <c r="A131" s="37"/>
      <c r="B131" s="65"/>
      <c r="C131" s="66"/>
      <c r="D131" s="66"/>
      <c r="E131" s="66"/>
      <c r="F131" s="66"/>
      <c r="G131" s="66"/>
      <c r="H131" s="66"/>
      <c r="I131" s="66"/>
      <c r="J131" s="66"/>
      <c r="K131" s="66"/>
      <c r="L131" s="43"/>
      <c r="M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</row>
  </sheetData>
  <sheetProtection sheet="1" autoFilter="0" formatColumns="0" formatRows="0" objects="1" scenarios="1" spinCount="100000" saltValue="4pAd8sAEiTXWK1Bh61V1+3Uw9z/EbR7EhY6TNoFlvlPRS5OJgixcI8R2MivrcPgv6bcIQFbRumeafTc7kFC7Xg==" hashValue="6VlXnfApMKiD3TIP/feIG92qb4DPkDkNh1IxYWmFHGMlZ3M1ppOj+3MJSuMnTpqCLfei9b8ZM95tmpT5qL5oDQ==" algorithmName="SHA-512" password="C724"/>
  <autoFilter ref="C116:K130"/>
  <mergeCells count="9">
    <mergeCell ref="E7:H7"/>
    <mergeCell ref="E9:H9"/>
    <mergeCell ref="E18:H18"/>
    <mergeCell ref="E27:H27"/>
    <mergeCell ref="E85:H85"/>
    <mergeCell ref="E87:H87"/>
    <mergeCell ref="E107:H107"/>
    <mergeCell ref="E109:H109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Andrea Sáčková</dc:creator>
  <cp:lastModifiedBy>Andrea Sáčková</cp:lastModifiedBy>
  <dcterms:created xsi:type="dcterms:W3CDTF">2025-03-06T13:03:23Z</dcterms:created>
  <dcterms:modified xsi:type="dcterms:W3CDTF">2025-03-06T13:03:26Z</dcterms:modified>
</cp:coreProperties>
</file>