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fileSharing userName="radek.cerman" reservationPassword="0"/>
  <workbookPr/>
  <bookViews>
    <workbookView xWindow="240" yWindow="120" windowWidth="14940" windowHeight="9225" activeTab="0"/>
  </bookViews>
  <sheets>
    <sheet name="000" sheetId="1" r:id="rId1"/>
    <sheet name="SO 101" sheetId="2" r:id="rId2"/>
    <sheet name="SO 180" sheetId="3" r:id="rId3"/>
  </sheets>
  <definedNames/>
  <calcPr/>
  <webPublishing/>
</workbook>
</file>

<file path=xl/sharedStrings.xml><?xml version="1.0" encoding="utf-8"?>
<sst xmlns="http://schemas.openxmlformats.org/spreadsheetml/2006/main" count="1161" uniqueCount="412">
  <si>
    <t>ASPE10</t>
  </si>
  <si>
    <t>S</t>
  </si>
  <si>
    <t>Soupis prací objektu</t>
  </si>
  <si>
    <t xml:space="preserve">Stavba: </t>
  </si>
  <si>
    <t>23-006</t>
  </si>
  <si>
    <t>Rekonstrukce průtahu II/634 Klauda</t>
  </si>
  <si>
    <t>O</t>
  </si>
  <si>
    <t>Rozpočet:</t>
  </si>
  <si>
    <t>0,00</t>
  </si>
  <si>
    <t>15,00</t>
  </si>
  <si>
    <t>21,00</t>
  </si>
  <si>
    <t>3</t>
  </si>
  <si>
    <t>2</t>
  </si>
  <si>
    <t>000</t>
  </si>
  <si>
    <t>Vedlejší a ostatní náklady</t>
  </si>
  <si>
    <t>Typ</t>
  </si>
  <si>
    <t>0</t>
  </si>
  <si>
    <t>Poř. číslo</t>
  </si>
  <si>
    <t>1</t>
  </si>
  <si>
    <t>Kód položky</t>
  </si>
  <si>
    <t>Varianta</t>
  </si>
  <si>
    <t>Název položky</t>
  </si>
  <si>
    <t>4</t>
  </si>
  <si>
    <t>MJ</t>
  </si>
  <si>
    <t>5</t>
  </si>
  <si>
    <t>Množství</t>
  </si>
  <si>
    <t>6</t>
  </si>
  <si>
    <t>Jednotková cena</t>
  </si>
  <si>
    <t>Jednotková</t>
  </si>
  <si>
    <t>9</t>
  </si>
  <si>
    <t>Celkem</t>
  </si>
  <si>
    <t>10</t>
  </si>
  <si>
    <t>SD</t>
  </si>
  <si>
    <t>Všeobecné konstrukce a práce</t>
  </si>
  <si>
    <t>P</t>
  </si>
  <si>
    <t>02911</t>
  </si>
  <si>
    <t/>
  </si>
  <si>
    <t>OSTATNÍ POŽADAVKY - GEODETICKÉ ZAMĚŘENÍ</t>
  </si>
  <si>
    <t>HM</t>
  </si>
  <si>
    <t>PP</t>
  </si>
  <si>
    <t>Zeměření skutečného provedení stavby pro vypracování DSPS</t>
  </si>
  <si>
    <t>VV</t>
  </si>
  <si>
    <t>930/100=9.300 [A]</t>
  </si>
  <si>
    <t>TS</t>
  </si>
  <si>
    <t>zahrnuje veškeré náklady spojené s objednatelem požadovanými pracemi</t>
  </si>
  <si>
    <t>02943</t>
  </si>
  <si>
    <t>OSTATNÍ POŽADAVKY - VYPRACOVÁNÍ RDS</t>
  </si>
  <si>
    <t>KPL</t>
  </si>
  <si>
    <t>1=1.000 [A]</t>
  </si>
  <si>
    <t>02944</t>
  </si>
  <si>
    <t>OSTAT POŽADAVKY - DOKUMENTACE SKUTEČ PROVEDENÍ V DIGIT FORMĚ</t>
  </si>
  <si>
    <t>a příp. tištěné, dle SOD</t>
  </si>
  <si>
    <t>02945</t>
  </si>
  <si>
    <t>OSTAT POŽADAVKY - GEOMETRICKÝ PLÁN</t>
  </si>
  <si>
    <t>Vypracování jednoho GP k oddělení dotčených pozemků potvrzeného katastrálním úřadem.</t>
  </si>
  <si>
    <t>03100</t>
  </si>
  <si>
    <t>ZAŘÍZENÍ STAVENIŠTĚ - ZŘÍZENÍ, PROVOZ, DEMONTÁŽ</t>
  </si>
  <si>
    <t>Veškeré náklady zhotovitele na zařízení staveniště, jeho zabezpečení BOZP, zřízení, provoz a demontáž</t>
  </si>
  <si>
    <t>SO 101</t>
  </si>
  <si>
    <t>Rekonstrukce silnice II/634</t>
  </si>
  <si>
    <t>014102</t>
  </si>
  <si>
    <t>POPLATKY ZA SKLÁDKU</t>
  </si>
  <si>
    <t>T</t>
  </si>
  <si>
    <t>dle pol. č. 11130: (3141,6*0,15+1322,6*0,2)*1,5=1 103.640 [A] 
dle pol. č. 12373: (358+2166)*1,5=3 786.000 [B] 
dle pol. č. 12932: 1094*0,3*1,5=492.300 [C] 
dle pol. č. 129958:96*0,1*1,5=14.400 [D] 
dle pol. č. 21263: 230*0,5*0,5*1,5=86.250 [E] 
dle pol. č. 13273: 60,73*1,5=91.095 [F] 
Celkem: A+B+C+D+E+F=5 573.685 [G]</t>
  </si>
  <si>
    <t>zahrnuje veškeré poplatky provozovateli skládky související s uložením odpadu na skládce.</t>
  </si>
  <si>
    <t>03730</t>
  </si>
  <si>
    <t>POMOC PRÁCE ZAJIŠŤ NEBO ZŘÍZ OCHRANU INŽENÝRSKÝCH SÍTÍ</t>
  </si>
  <si>
    <t>Ochrana metalického kabelu při výstavbě vedeného v krajnici u propustku v km 0,121 (kabel CETIN).</t>
  </si>
  <si>
    <t>zahrnuje objednatelem povolené náklady na požadovaná zařízení zhotovitele</t>
  </si>
  <si>
    <t>Zemní práce</t>
  </si>
  <si>
    <t>11130</t>
  </si>
  <si>
    <t>SEJMUTÍ DRNU</t>
  </si>
  <si>
    <t>M2</t>
  </si>
  <si>
    <t>-sejmutí drnu z krajnice v tl. 0,2 m a ze svahů v tl. 0,15 m</t>
  </si>
  <si>
    <t>stávající svahy: 3141,6=3 141.600 [A] 
krajnice: 1322,6=1 322.600 [B] 
Celkem: A+B=4 464.200 [C]</t>
  </si>
  <si>
    <t>včetně vodorovné dopravy  a uložení na skládku</t>
  </si>
  <si>
    <t>11328</t>
  </si>
  <si>
    <t>ODSTRANĚNÍ PŘÍKOPŮ, ŽLABŮ A RIGOLŮ Z PŘÍKOPOVÝCH TVÁRNIC</t>
  </si>
  <si>
    <t>odvoz k předrcení a použití na stavbě</t>
  </si>
  <si>
    <t>290*0,6=174.000 [A]</t>
  </si>
  <si>
    <t>Položka zahrnuje odstranění tvárnic včetně podkladu, veškerou manipulaci s vybouranou sutí a s vybouranými hmotami, vč. uložení na skládku. Nezahrnuje poplatek za skládku, který se vykazuje v položce 0141** (s výjimkou malého množství bouraného materiálu, kde je možné poplatek zahrnout do jednotkové ceny bourání – tento fakt musí být uveden v doplňujícím textu k položce).</t>
  </si>
  <si>
    <t>11332</t>
  </si>
  <si>
    <t>a</t>
  </si>
  <si>
    <t>ODSTRANĚNÍ PODKLADŮ ZPEVNĚNÝCH PLOCH Z KAMENIVA NESTMELENÉHO</t>
  </si>
  <si>
    <t>M3</t>
  </si>
  <si>
    <t>odstranění ŠD, odvoz na mezideponii pro zpětné použití do AZ</t>
  </si>
  <si>
    <t>1086,33=1 086.330 [A]</t>
  </si>
  <si>
    <t>b</t>
  </si>
  <si>
    <t>odstranění kamenité sypaniny, odvoz na mezideponii pro zpětné použití do AZ</t>
  </si>
  <si>
    <t>293,13=293.130 [A]</t>
  </si>
  <si>
    <t>Položka zahrnuje veškerou manipulaci s vybouranou sutí a s vybouranými hmotami vč. uložení na skládku. Nezahrnuje poplatek za skládku, který se vykazuje v položce 0141** (s výjimkou malého množství bouraného materiálu, kde je možné poplatek zahrnout do jednotkové ceny bourání – tento fakt musí být uveden v doplňujícím textu k položce).</t>
  </si>
  <si>
    <t>7</t>
  </si>
  <si>
    <t>11334</t>
  </si>
  <si>
    <t>ODSTRANĚNÍ PODKLADU ZPEVNĚNÝCH PLOCH S CEMENT POJIVEM</t>
  </si>
  <si>
    <t>odstranění zbylé vrstvy SC, odvoz na mezideponii pro zpětné použití do AZ</t>
  </si>
  <si>
    <t>430,04=430.040 [A]</t>
  </si>
  <si>
    <t>8</t>
  </si>
  <si>
    <t>11372</t>
  </si>
  <si>
    <t>R</t>
  </si>
  <si>
    <t>FRÉZOVÁNÍ ZPEVNĚNÝCH PLOCH ASFALTOVÝCH</t>
  </si>
  <si>
    <t>vč. cementové stabilizace v celkové tl. 0,215 m 
vč. uložení na mezideponii a uložení zpět do vozovky k recyklaci</t>
  </si>
  <si>
    <t>6422*0,215=1 380.730 [A]</t>
  </si>
  <si>
    <t>113763</t>
  </si>
  <si>
    <t>FRÉZOVÁNÍ DRÁŽKY PRŮŘEZU DO 300MM2 V ASFALTOVÉ VOZOVCE</t>
  </si>
  <si>
    <t>M</t>
  </si>
  <si>
    <t>Frézování drážky ve stávající vozovce o šířce 12 mm a hloubce 20 mm.</t>
  </si>
  <si>
    <t>příčná spára - napojení na stávající konstrukci:7,2+6,5 =13.700 [A] 
podéná spára podél obruby a napojení v křižovatkách a sjezdech: 13,8+20+10,6+22,4+22,4+8,2 =97.400 [B] 
Celkem: A+B=111.100 [C]</t>
  </si>
  <si>
    <t>Položka zahrnuje veškerou manipulaci s vybouranou sutí a s vybouranými hmotami vč. uložení na skládku.</t>
  </si>
  <si>
    <t>12373</t>
  </si>
  <si>
    <t>ODKOP PRO SPOD STAVBU SILNIC A ŽELEZNIC TŘ. I</t>
  </si>
  <si>
    <t>Odkopávky svahů přilehlých k příkopu vč. odvozu a uložení na skládku, poplatek za skládku vykázán v pol. 014101</t>
  </si>
  <si>
    <t>výpočet vychází z AutoCad Civil: 358=358.000 [A]</t>
  </si>
  <si>
    <t>11</t>
  </si>
  <si>
    <t>Odtěžení zeminy v AZ  vč. Odvozu a uložení na skládku, poplatek za skládku vykázán v pol. 014101</t>
  </si>
  <si>
    <t>výpočty vychází z průměrných tlouštěk vrstev dle JV diagnostického průzkumu:   
odtěžení zeminy do úrovně pláně: 720,5=720.500 [A] 
odtěžení zeminy AZ v průměrné tl. 0,2m (pro využití materiálů stáv.vozovky): 1445,5=1 445.500 [B] 
Celkem: A+B=2 166.000 [C]</t>
  </si>
  <si>
    <t>12</t>
  </si>
  <si>
    <t>12573</t>
  </si>
  <si>
    <t>c</t>
  </si>
  <si>
    <t>VYKOPÁVKY ZE ZEMNÍKŮ A SKLÁDEK TŘ. I</t>
  </si>
  <si>
    <t>Naložení a odvoz materiálu pro AZ z mezideponie</t>
  </si>
  <si>
    <t>1086,33+293,13+430,04=1 809.500 [A]</t>
  </si>
  <si>
    <t>13</t>
  </si>
  <si>
    <t>12893</t>
  </si>
  <si>
    <t>PŘEDRCENÍ VÝKOPKU TŘ. III</t>
  </si>
  <si>
    <t>předrcení SC a kamenité sypaniny na mezideponii + materiál z demolic propustků</t>
  </si>
  <si>
    <t>dle pol.č. 11332.b:293,13=293.130 [A] 
dle pol.č. 11334:430,04=430.040 [B] 
dle pol.č. 11328: 290*0,08=23.200 [D] 
propustek v km 0,121: 0,564+9,866+8,9*0,16=11.854 [E] 
propustek v km 0,401: 1,17+0,8+4+14,5*0,218=9.131 [F] 
Celkem: A+B+D+E+F=767.355 [G]</t>
  </si>
  <si>
    <t>položka nezahrnuje žádnou manipulaci s výkopkem (nakládání, doprava)</t>
  </si>
  <si>
    <t>14</t>
  </si>
  <si>
    <t>12932</t>
  </si>
  <si>
    <t>ČIŠTĚNÍ PŘÍKOPŮ OD NÁNOSU DO 0,5M3/M</t>
  </si>
  <si>
    <t>1094=1 094.000 [A]</t>
  </si>
  <si>
    <t>Součástí položky je vodorovná a svislá doprava, přemístění, přeložení, manipulace s materiálem a uložení na skládku. 
 Nezahrnuje poplatek za skládku, který se vykazuje v položce 0141** (s výjimkou malého množství  materiálu, kde je možné poplatek zahrnout do jednotkové ceny položky – tento fakt musí být uveden v doplňujícím textu k položce)</t>
  </si>
  <si>
    <t>15</t>
  </si>
  <si>
    <t>129958</t>
  </si>
  <si>
    <t>ČIŠTĚNÍ POTRUBÍ DN DO 600MM</t>
  </si>
  <si>
    <t>stávající propustky u sjezdů</t>
  </si>
  <si>
    <t>96=96.000 [A]</t>
  </si>
  <si>
    <t>16</t>
  </si>
  <si>
    <t>13273</t>
  </si>
  <si>
    <t>HLOUBENÍ RÝH ŠÍŘ DO 2M PAŽ I NEPAŽ TŘ. I</t>
  </si>
  <si>
    <t>odvoz na skládku</t>
  </si>
  <si>
    <t>km 0,121: 17,23=17.230 [A] 
km 0,401: 43,5=43.500 [B] 
Celkem: A+B=60.730 [C]</t>
  </si>
  <si>
    <t>17</t>
  </si>
  <si>
    <t>17120</t>
  </si>
  <si>
    <t>ULOŽENÍ SYPANINY DO NÁSYPŮ A NA SKLÁDKY BEZ ZHUT</t>
  </si>
  <si>
    <t>Uložení vykopané zeminy na meziskládku nebo meziskládku</t>
  </si>
  <si>
    <t>dle pol. č. 11130: (3141,6*0,15+1322,6*0,2)=735.760 [A] 
dle pol. č. 12373: (358+2166)=2 524.000 [B] 
dle pol. č. 12932: 1094*0,3=328.200 [C] 
dle pol. č. 129958:96*0,1=9.600 [D] 
dle pol. č. 21263: 230*0,5*0,5=57.500 [E] 
dle pol. č. 13273: 60,73=60.730 [F] 
Celkem: A+B+C+D+E+F=3 715.790 [G]</t>
  </si>
  <si>
    <t>18</t>
  </si>
  <si>
    <t>17130</t>
  </si>
  <si>
    <t>ULOŽENÍ SYPANINY DO NÁSYPŮ V AKTIVNÍ ZÓNĚ SE ZHUTNĚNÍM</t>
  </si>
  <si>
    <t>Uložení recyklovaného materiálu v původní vozovky, vč. srovnání a přehutnění podloží před nasypáním v AZ</t>
  </si>
  <si>
    <t>1809,5=1 809.500 [A]</t>
  </si>
  <si>
    <t>položka zahrnuje: 
- kompletní provedení zemní konstrukce vč. výběru vhodného materiálu 
- úprava  ukládaného  materiálu  vlhčením,  tříděním,  promícháním  nebo  vysoušením,  příp. jiné úpravy za účelem zlepšení jeho  mech. vlastností 
- hutnění i různé míry hutnění  
- ošetření úložiště po celou dobu práce v něm vč. klimatických opatření 
- ztížení v okolí vedení, konstrukcí a objektů a jejich dočasné zajištění 
- ztížení provádění vč. hutnění ve ztížených podmínkách a stísněných prostorech 
- ztížené ukládání sypaniny pod vodu 
- ukládání po vrstvách a po jiných nutných částech (figurách) vč. dosypávek 
- spouštění a nošení materiálu 
- výměna částí zemní konstrukce znehodnocené klimatickými vlivy 
- ruční hutnění a výplň jam a prohlubní v podloží 
- úprava, očištění, ochrana a zhutnění podloží 
- svahování, hutnění a uzavírání povrchů svahů 
- zřízení lavic na svazích 
- udržování úložiště a jeho ochrana proti vodě 
- odvedení nebo obvedení vody v okolí úložiště a v úložišti 
- veškeré  pomocné konstrukce umožňující provedení  zemní konstrukce  (příjezdy,  sjezdy,  nájezdy, lešení, podpěrné konstrukce, přemostění, zpevněné plochy, zakrytí a pod.)</t>
  </si>
  <si>
    <t>19</t>
  </si>
  <si>
    <t>17380</t>
  </si>
  <si>
    <t>ZEMNÍ KRAJNICE A DOSYPÁVKY Z NAKUPOVANÝCH MATERIÁLŮ</t>
  </si>
  <si>
    <t>1361,8*0,15=204.270 [A]</t>
  </si>
  <si>
    <t>20</t>
  </si>
  <si>
    <t>17581</t>
  </si>
  <si>
    <t>OBSYP POTRUBÍ A OBJEKTŮ Z NAKUPOVANÝCH MATERIÁLŮ</t>
  </si>
  <si>
    <t>zásyp z vhodného materiálu</t>
  </si>
  <si>
    <t>km 0,121: 2*0,3*11,26=6.756 [A] 
km 0,401: 2*0,79*15=23.700 [B] 
Celkem: A+B=30.456 [C]</t>
  </si>
  <si>
    <t>21</t>
  </si>
  <si>
    <t>18110</t>
  </si>
  <si>
    <t>ÚPRAVA PLÁNĚ SE ZHUTNĚNÍM V HORNINĚ TŘ. I</t>
  </si>
  <si>
    <t>srovnání a přehutnění stávající vrstvy PM před násypem asfaltového recyklátu</t>
  </si>
  <si>
    <t>7184=7 184.000 [A]</t>
  </si>
  <si>
    <t>položka zahrnuje úpravu pláně včetně vyrovnání výškových rozdílů. Míru zhutnění určuje projekt.</t>
  </si>
  <si>
    <t>22</t>
  </si>
  <si>
    <t>18220</t>
  </si>
  <si>
    <t>ROZPROSTŘENÍ ORNICE VE SVAHU</t>
  </si>
  <si>
    <t>vč, nákupu a dovozu zeminy vhodnou pro ohumusování</t>
  </si>
  <si>
    <t>3516*0,15=527.400 [A]</t>
  </si>
  <si>
    <t>23</t>
  </si>
  <si>
    <t>18242</t>
  </si>
  <si>
    <t>ZALOŽENÍ TRÁVNÍKU HYDROOSEVEM NA ORNICI</t>
  </si>
  <si>
    <t>3516=3 516.000 [A]</t>
  </si>
  <si>
    <t>Základy</t>
  </si>
  <si>
    <t>24</t>
  </si>
  <si>
    <t>21197</t>
  </si>
  <si>
    <t>OPLÁŠTĚNÍ ODVODŇOVACÍCH ŽEBER Z GEOTEXTILIE</t>
  </si>
  <si>
    <t>separační a filtrační geotextílie min 100 g/m2</t>
  </si>
  <si>
    <t>drenáž: 230*1,7=391.000 [A]</t>
  </si>
  <si>
    <t>položka zahrnuje dodávku předepsané geotextilie, mimostaveništní a vnitrostaveništní dopravu a její uložení včetně potřebných přesahů (nezapočítávají se do výměry)</t>
  </si>
  <si>
    <t>25</t>
  </si>
  <si>
    <t>21263</t>
  </si>
  <si>
    <t>TRATIVODY KOMPLET Z TRUB Z PLAST HMOT DN DO 150MM</t>
  </si>
  <si>
    <t>230=230.000 [A]</t>
  </si>
  <si>
    <t>Položka platí pro kompletní konstrukce trativodů a zahrnuje zejména: 
- výkop rýhy předepsaného tvaru v dané třídě těžitelnosti, výplň, zásyp trativodu včetně dopravy, uložení přebytečného materiálu, dodávky předepsaného materiálu pro výplň a zásyp 
- zřízení spojovací vrstvy 
- zřízení podkladu a lože trativodu z předepsaného materiálu 
- dodávka a uložení trativodu předepsaného materiálu a profilu 
- obsyp trativodu předepsaným materiálem 
- ukončení trativodu zaústěním do potrubí nebo vodoteče, případně vybudování ukončujícího objektu (kapličky) dle VL 
- veškerý materiál, výrobky a polotovary, včetně mimostaveništní a vnitrostaveništní dopravy 
- nezahrnuje opláštění z geotextilie, fólie</t>
  </si>
  <si>
    <t>26</t>
  </si>
  <si>
    <t>215663</t>
  </si>
  <si>
    <t>ÚPRAVA PODLOŽÍ HYDRAULICKÝMI POJIVY DO 2% HL DO 0,5M</t>
  </si>
  <si>
    <t>Směsné silniční hydraulické pojivo, úpravou frézou v tl. 0,5 m v AZ</t>
  </si>
  <si>
    <t>položka zahrnuje zafrézování předepsaného množství hydraulického pojiva do podloží do hloubky do 0,5m, zhutnění 
druh hydraulického pojiva stanoví zadávací dokumentace</t>
  </si>
  <si>
    <t>27</t>
  </si>
  <si>
    <t>272315</t>
  </si>
  <si>
    <t>ZÁKLADY Z PROSTÉHO BETONU DO C30/37</t>
  </si>
  <si>
    <t>km 0,121: 0,5*0,8*1,8*2=1.440 [A] 
km 0,401: 0,5*0,8*1,8=0.720 [B] 
Celkem: A+B=2.160 [C]</t>
  </si>
  <si>
    <t>- dodání  čerstvého  betonu  (betonové  směsi)  požadované  kvality,  jeho  uložení  do požadovaného tvaru při jakékoliv hustotě výztuže, konzistenci čerstvého betonu a způsobu hutnění, ošetření a ochranu betonu, 
- zhotovení nepropustného, mrazuvzdorného betonu a betonu požadované trvanlivosti a vlastností, 
- užití potřebných přísad a technologií výroby betonu, 
- zřízení pracovních a dilatačních spar, včetně potřebných úprav, výplně, vložek, opracování, očištění a ošetření, 
- bednění  požadovaných  konstr. (i ztracené) s úpravou  dle požadované  kvality povrchu betonu, včetně odbedňovacích a odskružovacích prostředků, 
- podpěrné  konstr. (skruže) a lešení všech druhů pro bednění, uložení čerstvého betonu, výztuže a doplňkových konstr., vč. požadovaných otvorů, ochranných a bezpečnostních opatření a základů těchto konstrukcí a lešení, 
- vytvoření kotevních čel, kapes, nálitků, a sedel, 
- zřízení  všech  požadovaných  otvorů, kapes, výklenků, prostupů, dutin, drážek a pod., vč. ztížení práce a úprav  kolem nich, 
- úpravy pro osazení výztuže, doplňkových konstrukcí a vybavení, 
- úpravy povrchu pro položení požadované izolace, povlaků a nátěrů, případně vyspravení, 
- ztížení práce u kabelových a injektážních trubek a ostatních zařízení osazovaných do betonu, 
- konstrukce betonových kloubů, upevnění kotevních prvků a doplňkových konstrukcí, 
- nátěry zabraňující soudržnost betonu a bednění, 
- výplň, těsnění  a tmelení spar a spojů, 
- opatření  povrchů  betonu  izolací  proti zemní vlhkosti v částech, kde přijdou do styku se zeminou nebo kamenivem, 
- případné zřízení spojovací vrstvy u základů, 
- úpravy pro osazení zařízení ochrany konstrukce proti vlivu bludných proudů,</t>
  </si>
  <si>
    <t>Vodorovné konstrukce</t>
  </si>
  <si>
    <t>28</t>
  </si>
  <si>
    <t>451312</t>
  </si>
  <si>
    <t>PODKLADNÍ A VÝPLŇOVÉ VRSTVY Z PROSTÉHO BETONU C12/15</t>
  </si>
  <si>
    <t>km 0,121: 0,2*1,5*10,3=3.090 [A] 
km 0,401: 0,2*1,7*13,7=4.658 [B] 
Celkem: A+B=7.748 [C]</t>
  </si>
  <si>
    <t>- dodání  čerstvého  betonu  (betonové  směsi)  požadované  kvality,  jeho  uložení  do požadovaného tvaru při jakékoliv hustotě výztuže, konzistenci čerstvého betonu a způsobu hutnění, ošetření a ochranu betonu, 
- zhotovení nepropustného, mrazuvzdorného betonu a betonu požadované trvanlivosti a vlastností, 
- užití potřebných přísad a technologií výroby betonu, 
- zřízení pracovních a dilatačních spar, včetně potřebných úprav, výplně, vložek, opracování, očištění a ošetření, 
- bednění  požadovaných  konstr. (i ztracené) s úpravou  dle požadované  kvality povrchu betonu, včetně odbedňovacích a odskružovacích prostředků, 
- podpěrné  konstr. (skruže) a lešení všech druhů pro bednění, uložení čerstvého betonu, výztuže a doplňkových konstr., vč. požadovaných otvorů, ochranných a bezpečnostních opatření a základů těchto konstrukcí a lešení, 
- vytvoření kotevních čel, kapes, nálitků, a sedel, 
- zřízení  všech  požadovaných  otvorů, kapes, výklenků, prostupů, dutin, drážek a pod., vč. ztížení práce a úprav  kolem nich, 
- úpravy pro osazení výztuže, doplňkových konstrukcí a vybavení, 
- úpravy povrchu pro položení požadované izolace, povlaků a nátěrů, případně vyspravení, 
- ztížení práce u kabelových a injektážních trubek a ostatních zařízení osazovaných do betonu, 
- konstrukce betonových kloubů, upevnění kotevních prvků a doplňkových konstrukcí, 
- nátěry zabraňující soudržnost betonu a bednění, 
- výplň, těsnění  a tmelení spar a spojů, 
- opatření  povrchů  betonu  izolací  proti zemní vlhkosti v částech, kde přijdou do styku se zeminou nebo kamenivem, 
- případné zřízení spojovací vrstvy u základů, 
- úpravy pro osazení zařízení ochrany konstrukce proti vlivu bludných proudů</t>
  </si>
  <si>
    <t>29</t>
  </si>
  <si>
    <t>45131A</t>
  </si>
  <si>
    <t>PODKLADNÍ A VÝPLŇOVÉ VRSTVY Z PROSTÉHO BETONU C20/25</t>
  </si>
  <si>
    <t>úložná vrstva betonu tl. 400 mm pro uložení trubních segmentů silničního propustku</t>
  </si>
  <si>
    <t>km 0,121: dlažba(3,44+2,75)*0,1*4*2=4.952 [A] 
betonové lože: 0,2*11,26=2.252 [B] 
km 0,401: dlažba (3,38+2)*0,1*4*2=4.304 [C] 
betonové lože: 0,28*15=4.200 [D] 
Celkem: A+B+C+D=15.708 [E]</t>
  </si>
  <si>
    <t>30</t>
  </si>
  <si>
    <t>45157</t>
  </si>
  <si>
    <t>PODKLADNÍ A VÝPLŇOVÉ VRSTVY Z KAMENIVA TĚŽENÉHO</t>
  </si>
  <si>
    <t>km 0,121: 0,2*1,5*10,3+(3,44+2,75)*0,1*4*2+2*0,5*1,8*0,1=8.222 [A] 
km 0,401: 0,2*1,7*13,7+ (3,38+2,00)*0,1*4*2+0,5*1,8*0,1=9.052 [B] 
Celkem: A+B=17.274 [C]</t>
  </si>
  <si>
    <t>položka zahrnuje dodávku předepsaného kameniva, mimostaveništní a vnitrostaveništní dopravu a jeho uložení 
není-li v zadávací dokumentaci uvedeno jinak, jedná se o nakupovaný materiál</t>
  </si>
  <si>
    <t>31</t>
  </si>
  <si>
    <t>461315</t>
  </si>
  <si>
    <t>PATKY Z PROSTÉHO BETONU C30/37</t>
  </si>
  <si>
    <t>propustek - bet.prahy ukončující dlažbu C 30/37-XF4</t>
  </si>
  <si>
    <t>km 0,121: 2*0,3*0,8*2,8+2*0,3*0,8*2,25=2.424 [A] 
km 0,401: 2*0,3*0,8*2,45+2*0,3*0,8*2=2.136 [B] 
Celkem: A+B=4.560 [C]</t>
  </si>
  <si>
    <t>položka zahrnuje: 
- nutné zemní práce (hloubení rýh a pod.) 
- dodání  čerstvého  betonu  (betonové  směsi)  požadované  kvality,  jeho  uložení  do požadovaného tvaru při jakékoliv konzistenci čerstvého betonu a způsobu hutnění, ošetření a ochranu betonu, 
- zhotovení nepropustného, mrazuvzdorného betonu a betonu požadované trvanlivosti a vlastností, 
- užití potřebných přísad a technologií výroby betonu, 
- zřízení pracovních a dilatačních spar, včetně potřebných úprav, výplně, vložek, opracování, očištění a ošetření, 
- bednění  požadovaných  konstr. (i ztracené) s úpravou  dle požadované  kvality povrchu betonu, včetně odbedňovacích a odskružovacích prostředků, 
- zřízení  všech  požadovaných  otvorů, kapes, výklenků, prostupů, dutin, drážek a pod., vč. ztížení práce a úprav  kolem nich, 
- úpravy pro osazení doplňkových konstrukcí a vybavení, 
- úpravy povrchu pro položení požadované izolace, povlaků a nátěrů, případně vyspravení, 
- konstrukce betonových kloubů, upevnění kotevních prvků a doplňkových konstrukcí, 
- nátěry zabraňující soudržnost betonu a bednění, 
- výplň, těsnění  a tmelení spar a spojů, 
- opatření  povrchů  betonu  izolací  proti zemní vlhkosti v částech, kde přijdou do styku se zeminou nebo kamenivem</t>
  </si>
  <si>
    <t>32</t>
  </si>
  <si>
    <t>465512</t>
  </si>
  <si>
    <t>DLAŽBY Z LOMOVÉHO KAMENE NA MC</t>
  </si>
  <si>
    <t>km 0,121: (3,44+2,75)*0,2*4*2=9.904 [A] 
km 0,401: (3,38+2)*0,2*4*2=8.608 [B] 
Celkem: A+B=18.512 [C]</t>
  </si>
  <si>
    <t>Komunikace</t>
  </si>
  <si>
    <t>33</t>
  </si>
  <si>
    <t>56330</t>
  </si>
  <si>
    <t>VOZOVKOVÉ VRSTVY ZE ŠTĚRKODRTI</t>
  </si>
  <si>
    <t>(772+1088+1095+1506+1644+1079)*0,2=1 436.800 [A]</t>
  </si>
  <si>
    <t>- dodání kameniva předepsané kvality a zrnitosti 
- rozprostření a zhutnění vrstvy v předepsané tloušťce 
- zřízení vrstvy bez rozlišení šířky, pokládání vrstvy po etapách 
- nezahrnuje postřiky, nátěry</t>
  </si>
  <si>
    <t>34</t>
  </si>
  <si>
    <t>56360</t>
  </si>
  <si>
    <t>VOZOVKOVÉ VRSTVY Z RECYKLOVANÉHO MATERIÁLU</t>
  </si>
  <si>
    <t>dle pol. č. 11372.R, použití vyfrézovaného materiálu</t>
  </si>
  <si>
    <t>1380,73=1 380.730 [A]</t>
  </si>
  <si>
    <t>- dodání recyklátu v požadované kvalitě 
- očištění podkladu 
- uložení recyklátu dle předepsaného technologického předpisu, zhutnění vrstvy v předepsané tloušťce 
- zřízení vrstvy bez rozlišení šířky, pokládání vrstvy po etapách, včetně pracovních spar a spojů 
- úpravu napojení, ukončení  
- nezahrnuje postřiky, nátěry</t>
  </si>
  <si>
    <t>35</t>
  </si>
  <si>
    <t>567504</t>
  </si>
  <si>
    <t>VRSTVY PRO OBNOVU A OPRAVY RECYK ZA STUDENA CEM A ASF EMULZÍ</t>
  </si>
  <si>
    <t>- dodání materiálů předepsaných pro recyklaci za studena 
- provedení recyklace dle předepsaného technologického předpisu, zhutnění vrstvy v předepsané tloušťce 
- zřízení vrstvy bez rozlišení šířky, pokládání vrstvy po etapách 
- úpravu napojení, ukončení 
- nezahrnuje postřiky, nátěry</t>
  </si>
  <si>
    <t>36</t>
  </si>
  <si>
    <t>56960</t>
  </si>
  <si>
    <t>ZPEVNĚNÍ KRAJNIC Z RECYKLOVANÉHO MATERIÁLU</t>
  </si>
  <si>
    <t>Zpevněná krajnice z R-materiálu v tl. 150 mm - dodání recyklátu v požadované kvalitě.</t>
  </si>
  <si>
    <t>1361,8*0,5*0,15=102.135 [A]</t>
  </si>
  <si>
    <t>37</t>
  </si>
  <si>
    <t>572123</t>
  </si>
  <si>
    <t>INFILTRAČNÍ POSTŘIK Z EMULZE DO 1,0KG/M2</t>
  </si>
  <si>
    <t>PI-C 0,60 kg/m2, vč. přesahů v příčném  i podélném směru</t>
  </si>
  <si>
    <t>6886,8=6 886.800 [A]</t>
  </si>
  <si>
    <t>- dodání všech předepsaných materiálů pro postřiky v předepsaném množství 
- provedení dle předepsaného technologického předpisu 
- zřízení vrstvy bez rozlišení šířky, pokládání vrstvy po etapách 
- úpravu napojení, ukončení</t>
  </si>
  <si>
    <t>38</t>
  </si>
  <si>
    <t>572214</t>
  </si>
  <si>
    <t>SPOJOVACÍ POSTŘIK Z MODIFIK EMULZE DO 0,5KG/M2</t>
  </si>
  <si>
    <t>PS-CP modifikovaný 0,40 kg/m2 vč. přesahů v příčném i podélném směru</t>
  </si>
  <si>
    <t>2 vrstva: 6401=6 401.000 [A] 
3 vrstva: 6556=6 556.000 [B] 
Celkem: A+B=12 957.000 [C]</t>
  </si>
  <si>
    <t>39</t>
  </si>
  <si>
    <t>57475</t>
  </si>
  <si>
    <t>VOZOVKOVÉ VÝZTUŽNÉ VRSTVY Z GEOMŘÍŽOVINY</t>
  </si>
  <si>
    <t>(7,2+6,5)*1,8=24.660 [A]</t>
  </si>
  <si>
    <t>- dodání geomříže v požadované kvalitě a v množství včetně přesahů (přesahy započteny v jednotkové ceně) 
- očištění podkladu 
- pokládka geomříže dle předepsaného technologického předpisu</t>
  </si>
  <si>
    <t>40</t>
  </si>
  <si>
    <t>574B04</t>
  </si>
  <si>
    <t>ASFALTOVÝ BETON PRO OBRUSNÉ VRSTVY MODIFIK ACO 11+, 11S</t>
  </si>
  <si>
    <t>6216*0,04*1,001=248.889 [A]</t>
  </si>
  <si>
    <t>- dodání směsi v požadované kvalitě 
- očištění podkladu 
- uložení směsi dle předepsaného technologického předpisu, zhutnění vrstvy v předepsané tloušťce 
- zřízení vrstvy bez rozlišení šířky, pokládání vrstvy po etapách, včetně pracovních spar a spojů 
- úpravu napojení, ukončení podél obrubníků, dilatačních zařízení, odvodňovacích proužků, odvodňovačů, vpustí, šachet a pod. 
- nezahrnuje postřiky, nátěry 
- nezahrnuje těsnění podél obrubníků, dilatačních zařízení, odvodňovacích proužků, odvodňovačů, vpustí, šachet a pod.</t>
  </si>
  <si>
    <t>41</t>
  </si>
  <si>
    <t>574D06</t>
  </si>
  <si>
    <t>ASFALTOVÝ BETON PRO LOŽNÍ VRSTVY MODIFIK ACL 16+, 16S</t>
  </si>
  <si>
    <t>6401*0,06=384.060 [A]</t>
  </si>
  <si>
    <t>42</t>
  </si>
  <si>
    <t>574F06</t>
  </si>
  <si>
    <t>ASFALTOVÝ BETON PRO PODKLADNÍ VRSTVY MODIFIK ACP 16+, 16S</t>
  </si>
  <si>
    <t>6556*0,06*1,01=397.294 [A]</t>
  </si>
  <si>
    <t>Přidružená stavební výroba</t>
  </si>
  <si>
    <t>43</t>
  </si>
  <si>
    <t>711111</t>
  </si>
  <si>
    <t>IZOLACE BĚŽNÝCH KONSTRUKCÍ PROTI ZEMNÍ VLHKOSTI ASFALTOVÝMI NÁTĚRY</t>
  </si>
  <si>
    <t>km 0,121: 2,3*11,26=25.898 [A] 
km 0,401: 2,7*15=40.500 [B] 
Celkem: A+B=66.398 [C]</t>
  </si>
  <si>
    <t>položka zahrnuje: 
- dodání  předepsaného izolačního materiálu 
- očištění a ošetření podkladu, zadávací dokumentace může zahrnout i případné vyspravení 
- zřízení izolace jako kompletního povlaku, případně komplet. soustavy nebo systému podle příslušného  technolog. předpisu 
- zřízení izolace i jednotlivých vrstev po etapách, včetně pracovních spár a spojů 
- úprava u okrajů, rohů, hran, dilatačních i pracovních spojů, kotev, obrubníků, dilatačních zařízení, odvodnění, otvorů, neizolovaných míst a pod. 
- zajištění odvodnění povrchu izolace, včetně odvodnění nejnižších míst, pokud dokumentace pro zadání stavby nestanoví jinak 
- ochrana izolace do doby zřízení definitivní ochranné vrstvy nebo konstrukce 
- úprava, očištění a ošetření prostoru kolem izolace 
- provedení požadovaných zkoušek 
- nezahrnuje ochranné vrstvy, např. geotextilii</t>
  </si>
  <si>
    <t>Potrubí</t>
  </si>
  <si>
    <t>44</t>
  </si>
  <si>
    <t>899524</t>
  </si>
  <si>
    <t>OBETONOVÁNÍ POTRUBÍ Z PROSTÉHO BETONU DO C25/30</t>
  </si>
  <si>
    <t>Obetonávka trubního propustu tl. 250 mm</t>
  </si>
  <si>
    <t>km 0,121: 0,3*10,3=3.090 [A]</t>
  </si>
  <si>
    <t>Ostatní konstrukce a práce</t>
  </si>
  <si>
    <t>45</t>
  </si>
  <si>
    <t>9112A3</t>
  </si>
  <si>
    <t>ZÁBRADLÍ MOSTNÍ S VODOR MADLY - DEMONTÁŽ S PŘESUNEM</t>
  </si>
  <si>
    <t>Demontáž zábradlí u propustku, vč. odvozu na předepsané místo určené dodavatelem stavby.</t>
  </si>
  <si>
    <t>km 0,121: 5=5.000 [A]</t>
  </si>
  <si>
    <t>položka zahrnuje: 
- demontáž a odstranění zařízení 
- jeho odvoz na předepsané místo</t>
  </si>
  <si>
    <t>46</t>
  </si>
  <si>
    <t>91228</t>
  </si>
  <si>
    <t>SMĚROVÉ SLOUPKY Z PLAST HMOT VČETNĚ ODRAZNÉHO PÁSKU</t>
  </si>
  <si>
    <t>KUS</t>
  </si>
  <si>
    <t>bílé extravilán:69=69.000 [A] 
červené v km 0,144 vpravo a v km 0,561 vpravo: 4=4.000 [B] 
Celkem: A+B=73.000 [C]</t>
  </si>
  <si>
    <t>položka zahrnuje: 
- dodání a osazení sloupku včetně nutných zemních prací 
- vnitrostaveništní a mimostaveništní doprava 
- odrazky plastové nebo z retroreflexní fólie</t>
  </si>
  <si>
    <t>47</t>
  </si>
  <si>
    <t>912283</t>
  </si>
  <si>
    <t>SMĚROVÉ SLOUPKY Z PLAST HMOT - DEMONTÁŽ A ODVOZ</t>
  </si>
  <si>
    <t>31+2=33.000 [A]</t>
  </si>
  <si>
    <t>položka zahrnuje demontáž stávajícího sloupku, jeho odvoz do skladu nebo na skládku</t>
  </si>
  <si>
    <t>48</t>
  </si>
  <si>
    <t>914132</t>
  </si>
  <si>
    <t>DOPRAVNÍ ZNAČKY ZÁKLADNÍ VELIKOSTI OCELOVÉ FÓLIE TŘ 2 - MONTÁŽ S PŘEMÍSTĚNÍM</t>
  </si>
  <si>
    <t>A1b</t>
  </si>
  <si>
    <t>položka zahrnuje: 
- dopravu demontované značky z dočasné skládky 
- osazení a montáž značky na místě určeném projektem 
- nutnou opravu poškozených částí 
nezahrnuje dodávku značky</t>
  </si>
  <si>
    <t>49</t>
  </si>
  <si>
    <t>914133</t>
  </si>
  <si>
    <t>DOPRAVNÍ ZNAČKY ZÁKLADNÍ VELIKOSTI OCELOVÉ FÓLIE TŘ 2 - DEMONTÁŽ</t>
  </si>
  <si>
    <t>Položka zahrnuje odstranění, demontáž a odklizení materiálu s odvozem na předepsané místo</t>
  </si>
  <si>
    <t>50</t>
  </si>
  <si>
    <t>915111</t>
  </si>
  <si>
    <t>VODOROVNÉ DOPRAVNÍ ZNAČENÍ BARVOU HLADKÉ - DODÁVKA A POKLÁDKA</t>
  </si>
  <si>
    <t>V4 š.0,125m: (926+938)*0,125=233.000 [A] 
V1a š. 0,125m: 932*0,125=116.500 [B] 
Celkem: A+B=349.500 [C]</t>
  </si>
  <si>
    <t>položka zahrnuje: 
- dodání a pokládku nátěrového materiálu (měří se pouze natíraná plocha) 
- předznačení a reflexní úpravu</t>
  </si>
  <si>
    <t>51</t>
  </si>
  <si>
    <t>9183B2</t>
  </si>
  <si>
    <t>PROPUSTY Z TRUB DN 400MM ŽELEZOBETONOVÝCH</t>
  </si>
  <si>
    <t>km 0,121: 11,26=11.260 [A]</t>
  </si>
  <si>
    <t>Položka zahrnuje: 
- dodání a položení potrubí z trub z dokumentací předepsaného materiálu a předepsaného průměru 
- případné úpravy trub (zkrácení, šikmé seříznutí) 
Nezahrnuje podkladní vrstvy a obetonování.</t>
  </si>
  <si>
    <t>52</t>
  </si>
  <si>
    <t>9183D2</t>
  </si>
  <si>
    <t>PROPUSTY Z TRUB DN 600MM ŽELEZOBETONOVÝCH</t>
  </si>
  <si>
    <t>km 0,401: 15=15.000 [A]</t>
  </si>
  <si>
    <t>53</t>
  </si>
  <si>
    <t>931313</t>
  </si>
  <si>
    <t>TĚSNĚNÍ DILATAČ SPAR ASF ZÁLIVKOU PRŮŘ DO 300MM2</t>
  </si>
  <si>
    <t>dle pol. č. 113763: 111,1=111.100 [A]</t>
  </si>
  <si>
    <t>položka zahrnuje dodávku a osazení předepsaného materiálu, očištění ploch spáry před úpravou, očištění okolí spáry po úpravě 
nezahrnuje těsnící profil</t>
  </si>
  <si>
    <t>54</t>
  </si>
  <si>
    <t>935211</t>
  </si>
  <si>
    <t>PŘÍKOPOVÉ ŽLABY Z BETON TVÁRNIC ŠÍŘ DO 600MM DO ŠTĚRKOPÍSKU TL 100MM</t>
  </si>
  <si>
    <t>313,5=313.500 [A]</t>
  </si>
  <si>
    <t>položka zahrnuje: 
- dodávku a uložení příkopových tvárnic předepsaného rozměru a kvality 
- dodání a rozprostření lože z předepsaného materiálu v předepsané kvalitěa v předepsané tloušťce 
- veškerou manipulaci s materiálem, vnitrostaveništní i mimostaveništní dopravu 
- ukončení, patky, spárování 
- měří se v metrech běžných délky osy žlabu</t>
  </si>
  <si>
    <t>55</t>
  </si>
  <si>
    <t>938543</t>
  </si>
  <si>
    <t>OČIŠTĚNÍ BETON KONSTR OTRYSKÁNÍM TLAK VODOU DO 1000 BARŮ</t>
  </si>
  <si>
    <t>stávající výtkový objekt u propustku v km 0,401</t>
  </si>
  <si>
    <t>2,9*1,4=4.060 [A]</t>
  </si>
  <si>
    <t>položka zahrnuje očištění předepsaným způsobem včetně odklizení vzniklého odpadu</t>
  </si>
  <si>
    <t>56</t>
  </si>
  <si>
    <t>96611</t>
  </si>
  <si>
    <t>BOURÁNÍ KONSTRUKCÍ Z BETONOVÝCH DÍLCŮ</t>
  </si>
  <si>
    <t>km 0,401: 1,3*0,9=1.170 [A]</t>
  </si>
  <si>
    <t>položka zahrnuje: 
- rozbourání konstrukce bez ohledu na použitou technologii 
- veškeré pomocné konstrukce (lešení a pod.) 
- veškerou manipulaci s vybouranou sutí a hmotami včetně uložení na skládku. Nezahrnuje poplatek za skládku, který se vykazuje v položce 0141** (s výjimkou malého množství bouraného materiálu, kde je možné poplatek zahrnout do jednotkové ceny bourání – tento fakt musí být uveden v doplňujícím textu k položce) 
- veškeré další práce plynoucí z technologického předpisu a z platných předpisů</t>
  </si>
  <si>
    <t>57</t>
  </si>
  <si>
    <t>96613</t>
  </si>
  <si>
    <t>BOURÁNÍ KONSTRUKCÍ Z KAMENE NA MC</t>
  </si>
  <si>
    <t>Bourání koryta u propustků, po předrcení použití na stavbě</t>
  </si>
  <si>
    <t>km 0,121: (1,92+0,9)*0,2=0.564 [A] 
km 0,401: (2,15+1,85)*0,2=0.800 [B] 
Celkem: A+B=1.364 [C]</t>
  </si>
  <si>
    <t>58</t>
  </si>
  <si>
    <t>96616</t>
  </si>
  <si>
    <t>BOURÁNÍ KONSTRUKCÍ ZE ŽELEZOBETONU</t>
  </si>
  <si>
    <t>Bourání betonových říms a čel propustku a vtokového objektu, odvoz k předrcení a použití na stavbě</t>
  </si>
  <si>
    <t>km 0,121: 4,1*1,3+3,24*1,4=9.866 [A] 
km 0,401: (2,7+0,6)*1+0,7*1=4.000 [B] 
Celkem: A+B=13.866 [C]</t>
  </si>
  <si>
    <t>59</t>
  </si>
  <si>
    <t>966357</t>
  </si>
  <si>
    <t>BOURÁNÍ PROPUSTŮ Z TRUB DN DO 500MM</t>
  </si>
  <si>
    <t>km 0,121: 8,9=8.900 [A]</t>
  </si>
  <si>
    <t>položka zahrnuje: 
- odstranění trub včetně případného obetonování a lože 
- veškeré pomocné konstrukce (lešení a pod.) 
- veškerou manipulaci s vybouranou sutí a hmotami včetně uložení na skládku. Nezahrnuje poplatek za skládku, který se vykazuje v položce 0141** (s výjimkou malého množství bouraného materiálu, kde je možné poplatek zahrnout do jednotkové ceny bourání – tento fakt musí být uveden v doplňujícím textu k položce) 
- veškeré další práce plynoucí z technologického předpisu a z platných předpisů 
- nezahrnuje bourání čel, vtokových a výtokových jímek, odstranění zábradlí</t>
  </si>
  <si>
    <t>60</t>
  </si>
  <si>
    <t>966358</t>
  </si>
  <si>
    <t>BOURÁNÍ PROPUSTŮ Z TRUB DN DO 600MM</t>
  </si>
  <si>
    <t>km 0,401: 14,5=14.500 [A]</t>
  </si>
  <si>
    <t>SO 180</t>
  </si>
  <si>
    <t>Přechodné dopravní značení</t>
  </si>
  <si>
    <t>02720</t>
  </si>
  <si>
    <t>POMOC PRÁCE ZŘÍZ NEBO ZAJIŠŤ REGULACI A OCHRANU DOPRAVY</t>
  </si>
  <si>
    <t>Dopravně inženýrská opatření v akci: "Rekonstrukce průtahu II/634 Klauda" dle 
dokumentace PDPS zahrnující: 
•Vypracování realizační dokumentace DIO a zajištění inženýrské činnosti - 
stanovení přechodné úpravy provozu na PK a rozhodnutí o uzavírce.</t>
  </si>
  <si>
    <t>zahrnuje veškeré náklady spojené s objednatelem požadovanými zařízeními</t>
  </si>
  <si>
    <t>přenosné značení, včetně přesunu ve fázích výstavby 
DIO, kompletní, vč. sloupků a podkladních desek 
vč. zakrytí značek</t>
  </si>
  <si>
    <t>19=19.000 [A]</t>
  </si>
  <si>
    <t>Položka zahrnuje:  
- odstranění, demontáž a odklizení materiálu s odvozem na předepsané místo  
Položka nezahrnuje:  
- x</t>
  </si>
  <si>
    <t>914139</t>
  </si>
  <si>
    <t>DOPRAV ZNAČKY ZÁKLAD VEL OCEL FÓLIE TŘ 2 - NÁJEMNÉ</t>
  </si>
  <si>
    <t>KSDEN</t>
  </si>
  <si>
    <t>19*31=589.000 [A]</t>
  </si>
  <si>
    <t>Položka zahrnuje:  
- sazbu za pronájem dopravních značek a zařízení  
Položka nezahrnuje:  
- x  
Způsob měření:  
- počet jednotek je určen jako součin počtu značek a počtu dní použití</t>
  </si>
  <si>
    <t>914432</t>
  </si>
  <si>
    <t>DOPRAVNÍ ZNAČKY 100X150CM OCELOVÉ FÓLIE TŘ 2 - MONTÁŽ S PŘEMÍSTĚNÍM</t>
  </si>
  <si>
    <t>DIO, kompletní, vč. sloupků a podkladních desek</t>
  </si>
  <si>
    <t>3=3.000 [A]</t>
  </si>
  <si>
    <t>Položka zahrnuje:  
- dopravu demontované značky z dočasné skládky  
- osazení a montáž značky na místě určeném projektem  
- nutnou opravu poškozených částí  
Položka nezahrnuje:  
- dodávku značky</t>
  </si>
  <si>
    <t>914433</t>
  </si>
  <si>
    <t>DOPRAVNÍ ZNAČKY 100X150CM OCELOVÉ FÓLIE TŘ 2 - DEMONTÁŽ</t>
  </si>
  <si>
    <t>914439</t>
  </si>
  <si>
    <t>DOPRAV ZNAČKY 100X150CM OCEL FÓLIE TŘ 2 - NÁJEMNÉ</t>
  </si>
  <si>
    <t>3*31=93.000 [A]</t>
  </si>
  <si>
    <t>položka zahrnuje sazbu za pronájem dopravních značek a zařízení, počet jednotek je určen jako součin počtu značek a počtu dní použití</t>
  </si>
  <si>
    <t>916122</t>
  </si>
  <si>
    <t>DOPRAV SVĚTLO VÝSTRAŽ SOUPRAVA 3KS - MONTÁŽ S PŘESUNEM</t>
  </si>
  <si>
    <t>3*2=6.000 [A]</t>
  </si>
  <si>
    <t>Položka zahrnuje:  
- přemístění zařízení z dočasné skládky a jeho osazení a montáž na místě určeném projektem  
- údržbu po celou dobu trvání funkce  
- náhradu zničených nebo ztracených kusů  
- nutnou opravu poškozených částí  
- napájení z baterie včetně záložní baterie  
Položka nezahrnuje:  
- x</t>
  </si>
  <si>
    <t>916123</t>
  </si>
  <si>
    <t>DOPRAV SVĚTLO VÝSTRAŽ SOUPRAVA 3KS - DEMONTÁŽ</t>
  </si>
  <si>
    <t>916129</t>
  </si>
  <si>
    <t>DOPRAV SVĚTLO VÝSTRAŽ SOUPRAVA 3KS - NÁJEMNÉ</t>
  </si>
  <si>
    <t>3*2*31=186.000 [A]</t>
  </si>
  <si>
    <t>Položka zahrnuje:  
- sazbu za pronájem zařízení  
Položka nezahrnuje:  
- x  
Způsob měření:  
- součin počtu zařízení a počtu dní použití.</t>
  </si>
  <si>
    <t>916322</t>
  </si>
  <si>
    <t>DOPRAVNÍ ZÁBRANY Z2 S FÓLIÍ TŘ 2 - MONTÁŽ S PŘESUNEM</t>
  </si>
  <si>
    <t>2=2.000 [A]</t>
  </si>
  <si>
    <t>Položka zahrnuje:  
- přemístění zařízení z dočasné skládky a jeho osazení a montáž na místě určeném projektem  
- údržbu po celou dobu trvání funkce  
- náhradu zničených nebo ztracených kusů  
- nutnou opravu poškozených částí  
Položka nezahrnuje:  
- x</t>
  </si>
  <si>
    <t>916323</t>
  </si>
  <si>
    <t>DOPRAVNÍ ZÁBRANY Z2 S FÓLIÍ TŘ 2 - DEMONTÁŽ</t>
  </si>
  <si>
    <t>916329</t>
  </si>
  <si>
    <t>DOPRAVNÍ ZÁBRANY Z2 S FÓLIÍ TŘ 2 - NÁJEMNÉ</t>
  </si>
  <si>
    <t>2*31=62.000 [A]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</si>
</sst>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#,##0.000"/>
  </numFmts>
  <fonts count="6">
    <font>
      <sz val="10"/>
      <name val="Arial"/>
      <family val="0"/>
    </font>
    <font>
      <b/>
      <sz val="16"/>
      <color rgb="FF000000"/>
      <name val="Arial"/>
      <family val="0"/>
    </font>
    <font>
      <b/>
      <sz val="11"/>
      <name val="Arial"/>
      <family val="0"/>
    </font>
    <font>
      <sz val="10"/>
      <color rgb="FFFFFFFF"/>
      <name val="Arial"/>
      <family val="0"/>
    </font>
    <font>
      <b/>
      <sz val="10"/>
      <name val="Arial"/>
      <family val="0"/>
    </font>
    <font>
      <i/>
      <sz val="10"/>
      <name val="Arial"/>
      <family val="0"/>
    </font>
  </fonts>
  <fills count="4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B441A"/>
        <bgColor indexed="64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/>
    </border>
    <border>
      <left/>
      <right/>
      <top/>
      <bottom style="thin"/>
    </border>
    <border>
      <left style="thin"/>
      <right/>
      <top/>
      <bottom/>
    </border>
    <border>
      <left/>
      <right/>
      <top style="thin"/>
      <bottom/>
    </border>
    <border>
      <left/>
      <right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left"/>
    </xf>
    <xf numFmtId="0" fontId="0" fillId="2" borderId="6" xfId="0" applyFill="1" applyBorder="1"/>
    <xf numFmtId="0" fontId="4" fillId="2" borderId="5" xfId="0" applyFont="1" applyFill="1" applyBorder="1" applyAlignment="1">
      <alignment horizontal="right"/>
    </xf>
    <xf numFmtId="177" fontId="4" fillId="2" borderId="5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wrapText="1"/>
    </xf>
    <xf numFmtId="0" fontId="0" fillId="0" borderId="1" xfId="0" applyBorder="1"/>
    <xf numFmtId="0" fontId="4" fillId="2" borderId="6" xfId="0" applyFont="1" applyFill="1" applyBorder="1" applyAlignment="1">
      <alignment horizontal="right"/>
    </xf>
    <xf numFmtId="0" fontId="4" fillId="2" borderId="6" xfId="0" applyFont="1" applyFill="1" applyBorder="1" applyAlignment="1">
      <alignment wrapText="1"/>
    </xf>
    <xf numFmtId="177" fontId="4" fillId="2" borderId="6" xfId="0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0" fillId="0" borderId="5" xfId="0" applyBorder="1" applyAlignment="1">
      <alignment vertical="top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top"/>
    </xf>
    <xf numFmtId="0" fontId="5" fillId="0" borderId="1" xfId="0" applyFont="1" applyBorder="1" applyAlignment="1">
      <alignment horizontal="left" vertical="center" wrapText="1"/>
    </xf>
    <xf numFmtId="177" fontId="0" fillId="2" borderId="1" xfId="0" applyNumberFormat="1" applyFill="1" applyBorder="1" applyAlignment="1">
      <alignment horizontal="center"/>
    </xf>
    <xf numFmtId="0" fontId="4" fillId="2" borderId="0" xfId="0" applyFont="1" applyFill="1" applyAlignment="1">
      <alignment horizontal="right"/>
    </xf>
    <xf numFmtId="177" fontId="4" fillId="2" borderId="0" xfId="0" applyNumberFormat="1" applyFont="1" applyFill="1" applyAlignment="1">
      <alignment horizontal="center"/>
    </xf>
    <xf numFmtId="0" fontId="4" fillId="2" borderId="3" xfId="0" applyFont="1" applyFill="1" applyBorder="1" applyAlignment="1">
      <alignment horizontal="right"/>
    </xf>
    <xf numFmtId="177" fontId="4" fillId="2" borderId="3" xfId="0" applyNumberFormat="1" applyFont="1" applyFill="1" applyBorder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0</xdr:row>
      <xdr:rowOff>9525</xdr:rowOff>
    </xdr:from>
    <xdr:to>
      <xdr:col>2</xdr:col>
      <xdr:colOff>495300</xdr:colOff>
      <xdr:row>2</xdr:row>
      <xdr:rowOff>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1276350" cy="46672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0</xdr:row>
      <xdr:rowOff>9525</xdr:rowOff>
    </xdr:from>
    <xdr:to>
      <xdr:col>2</xdr:col>
      <xdr:colOff>495300</xdr:colOff>
      <xdr:row>2</xdr:row>
      <xdr:rowOff>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1276350" cy="46672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0</xdr:row>
      <xdr:rowOff>9525</xdr:rowOff>
    </xdr:from>
    <xdr:to>
      <xdr:col>2</xdr:col>
      <xdr:colOff>495300</xdr:colOff>
      <xdr:row>2</xdr:row>
      <xdr:rowOff>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1276350" cy="46672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8"/>
  <sheetViews>
    <sheetView tabSelected="1" workbookViewId="0" topLeftCell="A1">
      <pane ySplit="7" topLeftCell="A8" activePane="bottomLeft" state="frozen"/>
      <selection pane="topLeft" activeCell="A1" sqref="A1"/>
      <selection pane="bottomLeft" activeCell="A8" sqref="A8"/>
    </sheetView>
  </sheetViews>
  <sheetFormatPr defaultColWidth="9.14285714285714" defaultRowHeight="12.75" customHeight="1"/>
  <cols>
    <col min="1" max="1" width="9.14285714285714" hidden="1" customWidth="1"/>
    <col min="2" max="2" width="11.7142857142857" customWidth="1"/>
    <col min="3" max="3" width="14.7142857142857" customWidth="1"/>
    <col min="4" max="4" width="9.71428571428571" customWidth="1"/>
    <col min="5" max="5" width="70.7142857142857" customWidth="1"/>
    <col min="6" max="6" width="11.7142857142857" customWidth="1"/>
    <col min="7" max="9" width="16.7142857142857" customWidth="1"/>
    <col min="15" max="18" width="9.14285714285714" hidden="1" customWidth="1"/>
  </cols>
  <sheetData>
    <row r="1" spans="1:16" ht="12.75" customHeight="1">
      <c r="A1" t="s">
        <v>0</v>
      </c>
      <c s="1"/>
      <c s="1"/>
      <c s="1"/>
      <c s="1"/>
      <c s="1"/>
      <c s="1"/>
      <c s="1"/>
      <c s="1"/>
      <c r="P1" t="s">
        <v>11</v>
      </c>
    </row>
    <row r="2" spans="2:16" ht="25" customHeight="1">
      <c r="B2" s="1"/>
      <c s="1"/>
      <c s="1"/>
      <c s="2" t="s">
        <v>2</v>
      </c>
      <c s="1"/>
      <c s="1"/>
      <c s="5"/>
      <c s="5"/>
      <c r="O2">
        <f>0+O8</f>
      </c>
      <c t="s">
        <v>11</v>
      </c>
    </row>
    <row r="3" spans="1:16" ht="15" customHeight="1">
      <c r="A3" t="s">
        <v>1</v>
      </c>
      <c s="8" t="s">
        <v>3</v>
      </c>
      <c s="9" t="s">
        <v>4</v>
      </c>
      <c s="1"/>
      <c s="10" t="s">
        <v>5</v>
      </c>
      <c s="1"/>
      <c s="4"/>
      <c s="3" t="s">
        <v>13</v>
      </c>
      <c s="32">
        <f>0+I8</f>
      </c>
      <c r="O3" t="s">
        <v>8</v>
      </c>
      <c t="s">
        <v>12</v>
      </c>
    </row>
    <row r="4" spans="1:16" ht="15" customHeight="1">
      <c r="A4" t="s">
        <v>6</v>
      </c>
      <c s="12" t="s">
        <v>7</v>
      </c>
      <c s="13" t="s">
        <v>13</v>
      </c>
      <c s="5"/>
      <c s="14" t="s">
        <v>14</v>
      </c>
      <c s="5"/>
      <c s="5"/>
      <c s="15"/>
      <c s="15"/>
      <c r="O4" t="s">
        <v>9</v>
      </c>
      <c t="s">
        <v>12</v>
      </c>
    </row>
    <row r="5" spans="1:16" ht="12.75" customHeight="1">
      <c r="A5" s="11" t="s">
        <v>15</v>
      </c>
      <c s="11" t="s">
        <v>17</v>
      </c>
      <c s="11" t="s">
        <v>19</v>
      </c>
      <c s="11" t="s">
        <v>20</v>
      </c>
      <c s="11" t="s">
        <v>21</v>
      </c>
      <c s="11" t="s">
        <v>23</v>
      </c>
      <c s="11" t="s">
        <v>25</v>
      </c>
      <c s="11" t="s">
        <v>27</v>
      </c>
      <c s="11"/>
      <c r="O5" t="s">
        <v>10</v>
      </c>
      <c t="s">
        <v>12</v>
      </c>
    </row>
    <row r="6" spans="1:9" ht="12.75" customHeight="1">
      <c r="A6" s="11"/>
      <c s="11"/>
      <c s="11"/>
      <c s="11"/>
      <c s="11"/>
      <c s="11"/>
      <c s="11"/>
      <c s="11" t="s">
        <v>28</v>
      </c>
      <c s="11" t="s">
        <v>30</v>
      </c>
    </row>
    <row r="7" spans="1:9" ht="12.75" customHeight="1">
      <c r="A7" s="11" t="s">
        <v>16</v>
      </c>
      <c s="11" t="s">
        <v>18</v>
      </c>
      <c s="11" t="s">
        <v>12</v>
      </c>
      <c s="11" t="s">
        <v>11</v>
      </c>
      <c s="11" t="s">
        <v>22</v>
      </c>
      <c s="11" t="s">
        <v>24</v>
      </c>
      <c s="11" t="s">
        <v>26</v>
      </c>
      <c s="11" t="s">
        <v>29</v>
      </c>
      <c s="11" t="s">
        <v>31</v>
      </c>
    </row>
    <row r="8" spans="1:18" ht="12.75" customHeight="1">
      <c r="A8" s="15" t="s">
        <v>32</v>
      </c>
      <c s="15"/>
      <c s="20" t="s">
        <v>16</v>
      </c>
      <c s="15"/>
      <c s="21" t="s">
        <v>33</v>
      </c>
      <c s="15"/>
      <c s="15"/>
      <c s="15"/>
      <c s="22">
        <f>0+Q8</f>
      </c>
      <c r="O8">
        <f>0+R8</f>
      </c>
      <c r="Q8">
        <f>0+I9+I13+I17+I21+I25</f>
      </c>
      <c>
        <f>0+O9+O13+O17+O21+O25</f>
      </c>
    </row>
    <row r="9" spans="1:16" ht="12.75">
      <c r="A9" s="19" t="s">
        <v>34</v>
      </c>
      <c s="23" t="s">
        <v>18</v>
      </c>
      <c s="23" t="s">
        <v>35</v>
      </c>
      <c s="19" t="s">
        <v>36</v>
      </c>
      <c s="24" t="s">
        <v>37</v>
      </c>
      <c s="25" t="s">
        <v>38</v>
      </c>
      <c s="26">
        <v>9.3</v>
      </c>
      <c s="27">
        <v>0</v>
      </c>
      <c s="27">
        <f>ROUND(ROUND(H9,2)*ROUND(G9,3),2)</f>
      </c>
      <c r="O9">
        <f>(I9*21)/100</f>
      </c>
      <c t="s">
        <v>12</v>
      </c>
    </row>
    <row r="10" spans="1:5" ht="12.75">
      <c r="A10" s="28" t="s">
        <v>39</v>
      </c>
      <c r="E10" s="29" t="s">
        <v>40</v>
      </c>
    </row>
    <row r="11" spans="1:5" ht="12.75">
      <c r="A11" s="30" t="s">
        <v>41</v>
      </c>
      <c r="E11" s="31" t="s">
        <v>42</v>
      </c>
    </row>
    <row r="12" spans="1:5" ht="12.75">
      <c r="A12" t="s">
        <v>43</v>
      </c>
      <c r="E12" s="29" t="s">
        <v>44</v>
      </c>
    </row>
    <row r="13" spans="1:16" ht="12.75">
      <c r="A13" s="19" t="s">
        <v>34</v>
      </c>
      <c s="23" t="s">
        <v>12</v>
      </c>
      <c s="23" t="s">
        <v>45</v>
      </c>
      <c s="19" t="s">
        <v>36</v>
      </c>
      <c s="24" t="s">
        <v>46</v>
      </c>
      <c s="25" t="s">
        <v>47</v>
      </c>
      <c s="26">
        <v>1</v>
      </c>
      <c s="27">
        <v>0</v>
      </c>
      <c s="27">
        <f>ROUND(ROUND(H13,2)*ROUND(G13,3),2)</f>
      </c>
      <c r="O13">
        <f>(I13*21)/100</f>
      </c>
      <c t="s">
        <v>12</v>
      </c>
    </row>
    <row r="14" spans="1:5" ht="12.75">
      <c r="A14" s="28" t="s">
        <v>39</v>
      </c>
      <c r="E14" s="29" t="s">
        <v>36</v>
      </c>
    </row>
    <row r="15" spans="1:5" ht="12.75">
      <c r="A15" s="30" t="s">
        <v>41</v>
      </c>
      <c r="E15" s="31" t="s">
        <v>48</v>
      </c>
    </row>
    <row r="16" spans="1:5" ht="12.75">
      <c r="A16" t="s">
        <v>43</v>
      </c>
      <c r="E16" s="29" t="s">
        <v>44</v>
      </c>
    </row>
    <row r="17" spans="1:16" ht="12.75">
      <c r="A17" s="19" t="s">
        <v>34</v>
      </c>
      <c s="23" t="s">
        <v>11</v>
      </c>
      <c s="23" t="s">
        <v>49</v>
      </c>
      <c s="19" t="s">
        <v>36</v>
      </c>
      <c s="24" t="s">
        <v>50</v>
      </c>
      <c s="25" t="s">
        <v>47</v>
      </c>
      <c s="26">
        <v>1</v>
      </c>
      <c s="27">
        <v>0</v>
      </c>
      <c s="27">
        <f>ROUND(ROUND(H17,2)*ROUND(G17,3),2)</f>
      </c>
      <c r="O17">
        <f>(I17*21)/100</f>
      </c>
      <c t="s">
        <v>12</v>
      </c>
    </row>
    <row r="18" spans="1:5" ht="12.75">
      <c r="A18" s="28" t="s">
        <v>39</v>
      </c>
      <c r="E18" s="29" t="s">
        <v>51</v>
      </c>
    </row>
    <row r="19" spans="1:5" ht="12.75">
      <c r="A19" s="30" t="s">
        <v>41</v>
      </c>
      <c r="E19" s="31" t="s">
        <v>48</v>
      </c>
    </row>
    <row r="20" spans="1:5" ht="12.75">
      <c r="A20" t="s">
        <v>43</v>
      </c>
      <c r="E20" s="29" t="s">
        <v>44</v>
      </c>
    </row>
    <row r="21" spans="1:16" ht="12.75">
      <c r="A21" s="19" t="s">
        <v>34</v>
      </c>
      <c s="23" t="s">
        <v>22</v>
      </c>
      <c s="23" t="s">
        <v>52</v>
      </c>
      <c s="19" t="s">
        <v>36</v>
      </c>
      <c s="24" t="s">
        <v>53</v>
      </c>
      <c s="25" t="s">
        <v>47</v>
      </c>
      <c s="26">
        <v>1</v>
      </c>
      <c s="27">
        <v>0</v>
      </c>
      <c s="27">
        <f>ROUND(ROUND(H21,2)*ROUND(G21,3),2)</f>
      </c>
      <c r="O21">
        <f>(I21*21)/100</f>
      </c>
      <c t="s">
        <v>12</v>
      </c>
    </row>
    <row r="22" spans="1:5" ht="25.5">
      <c r="A22" s="28" t="s">
        <v>39</v>
      </c>
      <c r="E22" s="29" t="s">
        <v>54</v>
      </c>
    </row>
    <row r="23" spans="1:5" ht="12.75">
      <c r="A23" s="30" t="s">
        <v>41</v>
      </c>
      <c r="E23" s="31" t="s">
        <v>48</v>
      </c>
    </row>
    <row r="24" spans="1:5" ht="12.75">
      <c r="A24" t="s">
        <v>43</v>
      </c>
      <c r="E24" s="29" t="s">
        <v>36</v>
      </c>
    </row>
    <row r="25" spans="1:16" ht="12.75">
      <c r="A25" s="19" t="s">
        <v>34</v>
      </c>
      <c s="23" t="s">
        <v>24</v>
      </c>
      <c s="23" t="s">
        <v>55</v>
      </c>
      <c s="19" t="s">
        <v>36</v>
      </c>
      <c s="24" t="s">
        <v>56</v>
      </c>
      <c s="25" t="s">
        <v>47</v>
      </c>
      <c s="26">
        <v>1</v>
      </c>
      <c s="27">
        <v>0</v>
      </c>
      <c s="27">
        <f>ROUND(ROUND(H25,2)*ROUND(G25,3),2)</f>
      </c>
      <c r="O25">
        <f>(I25*21)/100</f>
      </c>
      <c t="s">
        <v>12</v>
      </c>
    </row>
    <row r="26" spans="1:5" ht="25.5">
      <c r="A26" s="28" t="s">
        <v>39</v>
      </c>
      <c r="E26" s="29" t="s">
        <v>57</v>
      </c>
    </row>
    <row r="27" spans="1:5" ht="12.75">
      <c r="A27" s="30" t="s">
        <v>41</v>
      </c>
      <c r="E27" s="31" t="s">
        <v>48</v>
      </c>
    </row>
    <row r="28" spans="1:5" ht="12.75">
      <c r="A28" t="s">
        <v>43</v>
      </c>
      <c r="E28" s="29" t="s">
        <v>36</v>
      </c>
    </row>
  </sheetData>
  <mergeCells count="10">
    <mergeCell ref="C3:D3"/>
    <mergeCell ref="C4:D4"/>
    <mergeCell ref="A5:A6"/>
    <mergeCell ref="B5:B6"/>
    <mergeCell ref="C5:C6"/>
    <mergeCell ref="D5:D6"/>
    <mergeCell ref="E5:E6"/>
    <mergeCell ref="F5:F6"/>
    <mergeCell ref="G5:G6"/>
    <mergeCell ref="H5:I5"/>
  </mergeCells>
  <printOptions/>
  <pageMargins left="0.75" right="0.75" top="1" bottom="1" header="0.5" footer="0.5"/>
  <pageSetup fitToHeight="0" horizontalDpi="300" verticalDpi="300"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55"/>
  <sheetViews>
    <sheetView workbookViewId="0" topLeftCell="A1">
      <pane ySplit="7" topLeftCell="A8" activePane="bottomLeft" state="frozen"/>
      <selection pane="topLeft" activeCell="A1" sqref="A1"/>
      <selection pane="bottomLeft" activeCell="A8" sqref="A8"/>
    </sheetView>
  </sheetViews>
  <sheetFormatPr defaultColWidth="9.14285714285714" defaultRowHeight="12.75" customHeight="1"/>
  <cols>
    <col min="1" max="1" width="9.14285714285714" hidden="1" customWidth="1"/>
    <col min="2" max="2" width="11.7142857142857" customWidth="1"/>
    <col min="3" max="3" width="14.7142857142857" customWidth="1"/>
    <col min="4" max="4" width="9.71428571428571" customWidth="1"/>
    <col min="5" max="5" width="70.7142857142857" customWidth="1"/>
    <col min="6" max="6" width="11.7142857142857" customWidth="1"/>
    <col min="7" max="9" width="16.7142857142857" customWidth="1"/>
    <col min="15" max="18" width="9.14285714285714" hidden="1" customWidth="1"/>
  </cols>
  <sheetData>
    <row r="1" spans="1:16" ht="12.75" customHeight="1">
      <c r="A1" t="s">
        <v>0</v>
      </c>
      <c s="1"/>
      <c s="1"/>
      <c s="1"/>
      <c s="1"/>
      <c s="1"/>
      <c s="1"/>
      <c s="1"/>
      <c s="1"/>
      <c r="P1" t="s">
        <v>11</v>
      </c>
    </row>
    <row r="2" spans="2:16" ht="25" customHeight="1">
      <c r="B2" s="1"/>
      <c s="1"/>
      <c s="1"/>
      <c s="2" t="s">
        <v>2</v>
      </c>
      <c s="1"/>
      <c s="1"/>
      <c s="5"/>
      <c s="5"/>
      <c r="O2">
        <f>0+O8+O17+O102+O119+O140+O181+O186+O191</f>
      </c>
      <c t="s">
        <v>11</v>
      </c>
    </row>
    <row r="3" spans="1:16" ht="15" customHeight="1">
      <c r="A3" t="s">
        <v>1</v>
      </c>
      <c s="8" t="s">
        <v>3</v>
      </c>
      <c s="9" t="s">
        <v>4</v>
      </c>
      <c s="1"/>
      <c s="10" t="s">
        <v>5</v>
      </c>
      <c s="1"/>
      <c s="4"/>
      <c s="3" t="s">
        <v>58</v>
      </c>
      <c s="32">
        <f>0+I8+I17+I102+I119+I140+I181+I186+I191</f>
      </c>
      <c r="O3" t="s">
        <v>8</v>
      </c>
      <c t="s">
        <v>12</v>
      </c>
    </row>
    <row r="4" spans="1:16" ht="15" customHeight="1">
      <c r="A4" t="s">
        <v>6</v>
      </c>
      <c s="12" t="s">
        <v>7</v>
      </c>
      <c s="13" t="s">
        <v>58</v>
      </c>
      <c s="5"/>
      <c s="14" t="s">
        <v>59</v>
      </c>
      <c s="5"/>
      <c s="5"/>
      <c s="15"/>
      <c s="15"/>
      <c r="O4" t="s">
        <v>9</v>
      </c>
      <c t="s">
        <v>12</v>
      </c>
    </row>
    <row r="5" spans="1:16" ht="12.75" customHeight="1">
      <c r="A5" s="11" t="s">
        <v>15</v>
      </c>
      <c s="11" t="s">
        <v>17</v>
      </c>
      <c s="11" t="s">
        <v>19</v>
      </c>
      <c s="11" t="s">
        <v>20</v>
      </c>
      <c s="11" t="s">
        <v>21</v>
      </c>
      <c s="11" t="s">
        <v>23</v>
      </c>
      <c s="11" t="s">
        <v>25</v>
      </c>
      <c s="11" t="s">
        <v>27</v>
      </c>
      <c s="11"/>
      <c r="O5" t="s">
        <v>10</v>
      </c>
      <c t="s">
        <v>12</v>
      </c>
    </row>
    <row r="6" spans="1:9" ht="12.75" customHeight="1">
      <c r="A6" s="11"/>
      <c s="11"/>
      <c s="11"/>
      <c s="11"/>
      <c s="11"/>
      <c s="11"/>
      <c s="11"/>
      <c s="11" t="s">
        <v>28</v>
      </c>
      <c s="11" t="s">
        <v>30</v>
      </c>
    </row>
    <row r="7" spans="1:9" ht="12.75" customHeight="1">
      <c r="A7" s="11" t="s">
        <v>16</v>
      </c>
      <c s="11" t="s">
        <v>18</v>
      </c>
      <c s="11" t="s">
        <v>12</v>
      </c>
      <c s="11" t="s">
        <v>11</v>
      </c>
      <c s="11" t="s">
        <v>22</v>
      </c>
      <c s="11" t="s">
        <v>24</v>
      </c>
      <c s="11" t="s">
        <v>26</v>
      </c>
      <c s="11" t="s">
        <v>29</v>
      </c>
      <c s="11" t="s">
        <v>31</v>
      </c>
    </row>
    <row r="8" spans="1:18" ht="12.75" customHeight="1">
      <c r="A8" s="15" t="s">
        <v>32</v>
      </c>
      <c s="15"/>
      <c s="20" t="s">
        <v>16</v>
      </c>
      <c s="15"/>
      <c s="21" t="s">
        <v>33</v>
      </c>
      <c s="15"/>
      <c s="15"/>
      <c s="15"/>
      <c s="22">
        <f>0+Q8</f>
      </c>
      <c r="O8">
        <f>0+R8</f>
      </c>
      <c r="Q8">
        <f>0+I9+I13</f>
      </c>
      <c>
        <f>0+O9+O13</f>
      </c>
    </row>
    <row r="9" spans="1:16" ht="12.75">
      <c r="A9" s="19" t="s">
        <v>34</v>
      </c>
      <c s="23" t="s">
        <v>18</v>
      </c>
      <c s="23" t="s">
        <v>60</v>
      </c>
      <c s="19" t="s">
        <v>36</v>
      </c>
      <c s="24" t="s">
        <v>61</v>
      </c>
      <c s="25" t="s">
        <v>62</v>
      </c>
      <c s="26">
        <v>5573.685</v>
      </c>
      <c s="27">
        <v>0</v>
      </c>
      <c s="27">
        <f>ROUND(ROUND(H9,2)*ROUND(G9,3),2)</f>
      </c>
      <c r="O9">
        <f>(I9*21)/100</f>
      </c>
      <c t="s">
        <v>12</v>
      </c>
    </row>
    <row r="10" spans="1:5" ht="12.75">
      <c r="A10" s="28" t="s">
        <v>39</v>
      </c>
      <c r="E10" s="29" t="s">
        <v>36</v>
      </c>
    </row>
    <row r="11" spans="1:5" ht="89.25">
      <c r="A11" s="30" t="s">
        <v>41</v>
      </c>
      <c r="E11" s="31" t="s">
        <v>63</v>
      </c>
    </row>
    <row r="12" spans="1:5" ht="25.5">
      <c r="A12" t="s">
        <v>43</v>
      </c>
      <c r="E12" s="29" t="s">
        <v>64</v>
      </c>
    </row>
    <row r="13" spans="1:16" ht="12.75">
      <c r="A13" s="19" t="s">
        <v>34</v>
      </c>
      <c s="23" t="s">
        <v>12</v>
      </c>
      <c s="23" t="s">
        <v>65</v>
      </c>
      <c s="19" t="s">
        <v>36</v>
      </c>
      <c s="24" t="s">
        <v>66</v>
      </c>
      <c s="25" t="s">
        <v>47</v>
      </c>
      <c s="26">
        <v>1</v>
      </c>
      <c s="27">
        <v>0</v>
      </c>
      <c s="27">
        <f>ROUND(ROUND(H13,2)*ROUND(G13,3),2)</f>
      </c>
      <c r="O13">
        <f>(I13*21)/100</f>
      </c>
      <c t="s">
        <v>12</v>
      </c>
    </row>
    <row r="14" spans="1:5" ht="25.5">
      <c r="A14" s="28" t="s">
        <v>39</v>
      </c>
      <c r="E14" s="29" t="s">
        <v>67</v>
      </c>
    </row>
    <row r="15" spans="1:5" ht="12.75">
      <c r="A15" s="30" t="s">
        <v>41</v>
      </c>
      <c r="E15" s="31" t="s">
        <v>48</v>
      </c>
    </row>
    <row r="16" spans="1:5" ht="12.75">
      <c r="A16" t="s">
        <v>43</v>
      </c>
      <c r="E16" s="29" t="s">
        <v>68</v>
      </c>
    </row>
    <row r="17" spans="1:18" ht="12.75" customHeight="1">
      <c r="A17" s="5" t="s">
        <v>32</v>
      </c>
      <c s="5"/>
      <c s="35" t="s">
        <v>18</v>
      </c>
      <c s="5"/>
      <c s="21" t="s">
        <v>69</v>
      </c>
      <c s="5"/>
      <c s="5"/>
      <c s="5"/>
      <c s="36">
        <f>0+Q17</f>
      </c>
      <c r="O17">
        <f>0+R17</f>
      </c>
      <c r="Q17">
        <f>0+I18+I22+I26+I30+I34+I38+I42+I46+I50+I54+I58+I62+I66+I70+I74+I78+I82+I86+I90+I94+I98</f>
      </c>
      <c>
        <f>0+O18+O22+O26+O30+O34+O38+O42+O46+O50+O54+O58+O62+O66+O70+O74+O78+O82+O86+O90+O94+O98</f>
      </c>
    </row>
    <row r="18" spans="1:16" ht="12.75">
      <c r="A18" s="19" t="s">
        <v>34</v>
      </c>
      <c s="23" t="s">
        <v>11</v>
      </c>
      <c s="23" t="s">
        <v>70</v>
      </c>
      <c s="19" t="s">
        <v>36</v>
      </c>
      <c s="24" t="s">
        <v>71</v>
      </c>
      <c s="25" t="s">
        <v>72</v>
      </c>
      <c s="26">
        <v>4464.2</v>
      </c>
      <c s="27">
        <v>0</v>
      </c>
      <c s="27">
        <f>ROUND(ROUND(H18,2)*ROUND(G18,3),2)</f>
      </c>
      <c r="O18">
        <f>(I18*21)/100</f>
      </c>
      <c t="s">
        <v>12</v>
      </c>
    </row>
    <row r="19" spans="1:5" ht="12.75">
      <c r="A19" s="28" t="s">
        <v>39</v>
      </c>
      <c r="E19" s="29" t="s">
        <v>73</v>
      </c>
    </row>
    <row r="20" spans="1:5" ht="38.25">
      <c r="A20" s="30" t="s">
        <v>41</v>
      </c>
      <c r="E20" s="31" t="s">
        <v>74</v>
      </c>
    </row>
    <row r="21" spans="1:5" ht="12.75">
      <c r="A21" t="s">
        <v>43</v>
      </c>
      <c r="E21" s="29" t="s">
        <v>75</v>
      </c>
    </row>
    <row r="22" spans="1:16" ht="12.75">
      <c r="A22" s="19" t="s">
        <v>34</v>
      </c>
      <c s="23" t="s">
        <v>22</v>
      </c>
      <c s="23" t="s">
        <v>76</v>
      </c>
      <c s="19" t="s">
        <v>36</v>
      </c>
      <c s="24" t="s">
        <v>77</v>
      </c>
      <c s="25" t="s">
        <v>72</v>
      </c>
      <c s="26">
        <v>174</v>
      </c>
      <c s="27">
        <v>0</v>
      </c>
      <c s="27">
        <f>ROUND(ROUND(H22,2)*ROUND(G22,3),2)</f>
      </c>
      <c r="O22">
        <f>(I22*21)/100</f>
      </c>
      <c t="s">
        <v>12</v>
      </c>
    </row>
    <row r="23" spans="1:5" ht="12.75">
      <c r="A23" s="28" t="s">
        <v>39</v>
      </c>
      <c r="E23" s="29" t="s">
        <v>78</v>
      </c>
    </row>
    <row r="24" spans="1:5" ht="12.75">
      <c r="A24" s="30" t="s">
        <v>41</v>
      </c>
      <c r="E24" s="31" t="s">
        <v>79</v>
      </c>
    </row>
    <row r="25" spans="1:5" ht="63.75">
      <c r="A25" t="s">
        <v>43</v>
      </c>
      <c r="E25" s="29" t="s">
        <v>80</v>
      </c>
    </row>
    <row r="26" spans="1:16" ht="25.5">
      <c r="A26" s="19" t="s">
        <v>34</v>
      </c>
      <c s="23" t="s">
        <v>24</v>
      </c>
      <c s="23" t="s">
        <v>81</v>
      </c>
      <c s="19" t="s">
        <v>82</v>
      </c>
      <c s="24" t="s">
        <v>83</v>
      </c>
      <c s="25" t="s">
        <v>84</v>
      </c>
      <c s="26">
        <v>1086.33</v>
      </c>
      <c s="27">
        <v>0</v>
      </c>
      <c s="27">
        <f>ROUND(ROUND(H26,2)*ROUND(G26,3),2)</f>
      </c>
      <c r="O26">
        <f>(I26*21)/100</f>
      </c>
      <c t="s">
        <v>12</v>
      </c>
    </row>
    <row r="27" spans="1:5" ht="12.75">
      <c r="A27" s="28" t="s">
        <v>39</v>
      </c>
      <c r="E27" s="29" t="s">
        <v>85</v>
      </c>
    </row>
    <row r="28" spans="1:5" ht="12.75">
      <c r="A28" s="30" t="s">
        <v>41</v>
      </c>
      <c r="E28" s="31" t="s">
        <v>86</v>
      </c>
    </row>
    <row r="29" spans="1:5" ht="12.75">
      <c r="A29" t="s">
        <v>43</v>
      </c>
      <c r="E29" s="29" t="s">
        <v>36</v>
      </c>
    </row>
    <row r="30" spans="1:16" ht="25.5">
      <c r="A30" s="19" t="s">
        <v>34</v>
      </c>
      <c s="23" t="s">
        <v>26</v>
      </c>
      <c s="23" t="s">
        <v>81</v>
      </c>
      <c s="19" t="s">
        <v>87</v>
      </c>
      <c s="24" t="s">
        <v>83</v>
      </c>
      <c s="25" t="s">
        <v>84</v>
      </c>
      <c s="26">
        <v>293.13</v>
      </c>
      <c s="27">
        <v>0</v>
      </c>
      <c s="27">
        <f>ROUND(ROUND(H30,2)*ROUND(G30,3),2)</f>
      </c>
      <c r="O30">
        <f>(I30*21)/100</f>
      </c>
      <c t="s">
        <v>12</v>
      </c>
    </row>
    <row r="31" spans="1:5" ht="12.75">
      <c r="A31" s="28" t="s">
        <v>39</v>
      </c>
      <c r="E31" s="29" t="s">
        <v>88</v>
      </c>
    </row>
    <row r="32" spans="1:5" ht="12.75">
      <c r="A32" s="30" t="s">
        <v>41</v>
      </c>
      <c r="E32" s="31" t="s">
        <v>89</v>
      </c>
    </row>
    <row r="33" spans="1:5" ht="63.75">
      <c r="A33" t="s">
        <v>43</v>
      </c>
      <c r="E33" s="29" t="s">
        <v>90</v>
      </c>
    </row>
    <row r="34" spans="1:16" ht="12.75">
      <c r="A34" s="19" t="s">
        <v>34</v>
      </c>
      <c s="23" t="s">
        <v>91</v>
      </c>
      <c s="23" t="s">
        <v>92</v>
      </c>
      <c s="19" t="s">
        <v>36</v>
      </c>
      <c s="24" t="s">
        <v>93</v>
      </c>
      <c s="25" t="s">
        <v>84</v>
      </c>
      <c s="26">
        <v>430.04</v>
      </c>
      <c s="27">
        <v>0</v>
      </c>
      <c s="27">
        <f>ROUND(ROUND(H34,2)*ROUND(G34,3),2)</f>
      </c>
      <c r="O34">
        <f>(I34*21)/100</f>
      </c>
      <c t="s">
        <v>12</v>
      </c>
    </row>
    <row r="35" spans="1:5" ht="12.75">
      <c r="A35" s="28" t="s">
        <v>39</v>
      </c>
      <c r="E35" s="29" t="s">
        <v>94</v>
      </c>
    </row>
    <row r="36" spans="1:5" ht="12.75">
      <c r="A36" s="30" t="s">
        <v>41</v>
      </c>
      <c r="E36" s="31" t="s">
        <v>95</v>
      </c>
    </row>
    <row r="37" spans="1:5" ht="63.75">
      <c r="A37" t="s">
        <v>43</v>
      </c>
      <c r="E37" s="29" t="s">
        <v>90</v>
      </c>
    </row>
    <row r="38" spans="1:16" ht="12.75">
      <c r="A38" s="19" t="s">
        <v>34</v>
      </c>
      <c s="23" t="s">
        <v>96</v>
      </c>
      <c s="23" t="s">
        <v>97</v>
      </c>
      <c s="19" t="s">
        <v>98</v>
      </c>
      <c s="24" t="s">
        <v>99</v>
      </c>
      <c s="25" t="s">
        <v>84</v>
      </c>
      <c s="26">
        <v>1380.73</v>
      </c>
      <c s="27">
        <v>0</v>
      </c>
      <c s="27">
        <f>ROUND(ROUND(H38,2)*ROUND(G38,3),2)</f>
      </c>
      <c r="O38">
        <f>(I38*21)/100</f>
      </c>
      <c t="s">
        <v>12</v>
      </c>
    </row>
    <row r="39" spans="1:5" ht="25.5">
      <c r="A39" s="28" t="s">
        <v>39</v>
      </c>
      <c r="E39" s="29" t="s">
        <v>100</v>
      </c>
    </row>
    <row r="40" spans="1:5" ht="12.75">
      <c r="A40" s="30" t="s">
        <v>41</v>
      </c>
      <c r="E40" s="31" t="s">
        <v>101</v>
      </c>
    </row>
    <row r="41" spans="1:5" ht="63.75">
      <c r="A41" t="s">
        <v>43</v>
      </c>
      <c r="E41" s="29" t="s">
        <v>90</v>
      </c>
    </row>
    <row r="42" spans="1:16" ht="12.75">
      <c r="A42" s="19" t="s">
        <v>34</v>
      </c>
      <c s="23" t="s">
        <v>29</v>
      </c>
      <c s="23" t="s">
        <v>102</v>
      </c>
      <c s="19" t="s">
        <v>36</v>
      </c>
      <c s="24" t="s">
        <v>103</v>
      </c>
      <c s="25" t="s">
        <v>104</v>
      </c>
      <c s="26">
        <v>111.1</v>
      </c>
      <c s="27">
        <v>0</v>
      </c>
      <c s="27">
        <f>ROUND(ROUND(H42,2)*ROUND(G42,3),2)</f>
      </c>
      <c r="O42">
        <f>(I42*21)/100</f>
      </c>
      <c t="s">
        <v>12</v>
      </c>
    </row>
    <row r="43" spans="1:5" ht="12.75">
      <c r="A43" s="28" t="s">
        <v>39</v>
      </c>
      <c r="E43" s="29" t="s">
        <v>105</v>
      </c>
    </row>
    <row r="44" spans="1:5" ht="51">
      <c r="A44" s="30" t="s">
        <v>41</v>
      </c>
      <c r="E44" s="31" t="s">
        <v>106</v>
      </c>
    </row>
    <row r="45" spans="1:5" ht="25.5">
      <c r="A45" t="s">
        <v>43</v>
      </c>
      <c r="E45" s="29" t="s">
        <v>107</v>
      </c>
    </row>
    <row r="46" spans="1:16" ht="12.75">
      <c r="A46" s="19" t="s">
        <v>34</v>
      </c>
      <c s="23" t="s">
        <v>31</v>
      </c>
      <c s="23" t="s">
        <v>108</v>
      </c>
      <c s="19" t="s">
        <v>82</v>
      </c>
      <c s="24" t="s">
        <v>109</v>
      </c>
      <c s="25" t="s">
        <v>84</v>
      </c>
      <c s="26">
        <v>358</v>
      </c>
      <c s="27">
        <v>0</v>
      </c>
      <c s="27">
        <f>ROUND(ROUND(H46,2)*ROUND(G46,3),2)</f>
      </c>
      <c r="O46">
        <f>(I46*21)/100</f>
      </c>
      <c t="s">
        <v>12</v>
      </c>
    </row>
    <row r="47" spans="1:5" ht="25.5">
      <c r="A47" s="28" t="s">
        <v>39</v>
      </c>
      <c r="E47" s="29" t="s">
        <v>110</v>
      </c>
    </row>
    <row r="48" spans="1:5" ht="12.75">
      <c r="A48" s="30" t="s">
        <v>41</v>
      </c>
      <c r="E48" s="31" t="s">
        <v>111</v>
      </c>
    </row>
    <row r="49" spans="1:5" ht="12.75">
      <c r="A49" t="s">
        <v>43</v>
      </c>
      <c r="E49" s="29" t="s">
        <v>36</v>
      </c>
    </row>
    <row r="50" spans="1:16" ht="12.75">
      <c r="A50" s="19" t="s">
        <v>34</v>
      </c>
      <c s="23" t="s">
        <v>112</v>
      </c>
      <c s="23" t="s">
        <v>108</v>
      </c>
      <c s="19" t="s">
        <v>87</v>
      </c>
      <c s="24" t="s">
        <v>109</v>
      </c>
      <c s="25" t="s">
        <v>84</v>
      </c>
      <c s="26">
        <v>2166</v>
      </c>
      <c s="27">
        <v>0</v>
      </c>
      <c s="27">
        <f>ROUND(ROUND(H50,2)*ROUND(G50,3),2)</f>
      </c>
      <c r="O50">
        <f>(I50*21)/100</f>
      </c>
      <c t="s">
        <v>12</v>
      </c>
    </row>
    <row r="51" spans="1:5" ht="25.5">
      <c r="A51" s="28" t="s">
        <v>39</v>
      </c>
      <c r="E51" s="29" t="s">
        <v>113</v>
      </c>
    </row>
    <row r="52" spans="1:5" ht="63.75">
      <c r="A52" s="30" t="s">
        <v>41</v>
      </c>
      <c r="E52" s="31" t="s">
        <v>114</v>
      </c>
    </row>
    <row r="53" spans="1:5" ht="12.75">
      <c r="A53" t="s">
        <v>43</v>
      </c>
      <c r="E53" s="29" t="s">
        <v>36</v>
      </c>
    </row>
    <row r="54" spans="1:16" ht="12.75">
      <c r="A54" s="19" t="s">
        <v>34</v>
      </c>
      <c s="23" t="s">
        <v>115</v>
      </c>
      <c s="23" t="s">
        <v>116</v>
      </c>
      <c s="19" t="s">
        <v>117</v>
      </c>
      <c s="24" t="s">
        <v>118</v>
      </c>
      <c s="25" t="s">
        <v>84</v>
      </c>
      <c s="26">
        <v>1809.5</v>
      </c>
      <c s="27">
        <v>0</v>
      </c>
      <c s="27">
        <f>ROUND(ROUND(H54,2)*ROUND(G54,3),2)</f>
      </c>
      <c r="O54">
        <f>(I54*21)/100</f>
      </c>
      <c t="s">
        <v>12</v>
      </c>
    </row>
    <row r="55" spans="1:5" ht="12.75">
      <c r="A55" s="28" t="s">
        <v>39</v>
      </c>
      <c r="E55" s="29" t="s">
        <v>119</v>
      </c>
    </row>
    <row r="56" spans="1:5" ht="12.75">
      <c r="A56" s="30" t="s">
        <v>41</v>
      </c>
      <c r="E56" s="31" t="s">
        <v>120</v>
      </c>
    </row>
    <row r="57" spans="1:5" ht="12.75">
      <c r="A57" t="s">
        <v>43</v>
      </c>
      <c r="E57" s="29" t="s">
        <v>36</v>
      </c>
    </row>
    <row r="58" spans="1:16" ht="12.75">
      <c r="A58" s="19" t="s">
        <v>34</v>
      </c>
      <c s="23" t="s">
        <v>121</v>
      </c>
      <c s="23" t="s">
        <v>122</v>
      </c>
      <c s="19" t="s">
        <v>36</v>
      </c>
      <c s="24" t="s">
        <v>123</v>
      </c>
      <c s="25" t="s">
        <v>84</v>
      </c>
      <c s="26">
        <v>767.355</v>
      </c>
      <c s="27">
        <v>0</v>
      </c>
      <c s="27">
        <f>ROUND(ROUND(H58,2)*ROUND(G58,3),2)</f>
      </c>
      <c r="O58">
        <f>(I58*21)/100</f>
      </c>
      <c t="s">
        <v>12</v>
      </c>
    </row>
    <row r="59" spans="1:5" ht="12.75">
      <c r="A59" s="28" t="s">
        <v>39</v>
      </c>
      <c r="E59" s="29" t="s">
        <v>124</v>
      </c>
    </row>
    <row r="60" spans="1:5" ht="76.5">
      <c r="A60" s="30" t="s">
        <v>41</v>
      </c>
      <c r="E60" s="31" t="s">
        <v>125</v>
      </c>
    </row>
    <row r="61" spans="1:5" ht="12.75">
      <c r="A61" t="s">
        <v>43</v>
      </c>
      <c r="E61" s="29" t="s">
        <v>126</v>
      </c>
    </row>
    <row r="62" spans="1:16" ht="12.75">
      <c r="A62" s="19" t="s">
        <v>34</v>
      </c>
      <c s="23" t="s">
        <v>127</v>
      </c>
      <c s="23" t="s">
        <v>128</v>
      </c>
      <c s="19" t="s">
        <v>36</v>
      </c>
      <c s="24" t="s">
        <v>129</v>
      </c>
      <c s="25" t="s">
        <v>104</v>
      </c>
      <c s="26">
        <v>1094</v>
      </c>
      <c s="27">
        <v>0</v>
      </c>
      <c s="27">
        <f>ROUND(ROUND(H62,2)*ROUND(G62,3),2)</f>
      </c>
      <c r="O62">
        <f>(I62*21)/100</f>
      </c>
      <c t="s">
        <v>12</v>
      </c>
    </row>
    <row r="63" spans="1:5" ht="12.75">
      <c r="A63" s="28" t="s">
        <v>39</v>
      </c>
      <c r="E63" s="29" t="s">
        <v>36</v>
      </c>
    </row>
    <row r="64" spans="1:5" ht="12.75">
      <c r="A64" s="30" t="s">
        <v>41</v>
      </c>
      <c r="E64" s="31" t="s">
        <v>130</v>
      </c>
    </row>
    <row r="65" spans="1:5" ht="63.75">
      <c r="A65" t="s">
        <v>43</v>
      </c>
      <c r="E65" s="29" t="s">
        <v>131</v>
      </c>
    </row>
    <row r="66" spans="1:16" ht="12.75">
      <c r="A66" s="19" t="s">
        <v>34</v>
      </c>
      <c s="23" t="s">
        <v>132</v>
      </c>
      <c s="23" t="s">
        <v>133</v>
      </c>
      <c s="19" t="s">
        <v>36</v>
      </c>
      <c s="24" t="s">
        <v>134</v>
      </c>
      <c s="25" t="s">
        <v>104</v>
      </c>
      <c s="26">
        <v>96</v>
      </c>
      <c s="27">
        <v>0</v>
      </c>
      <c s="27">
        <f>ROUND(ROUND(H66,2)*ROUND(G66,3),2)</f>
      </c>
      <c r="O66">
        <f>(I66*21)/100</f>
      </c>
      <c t="s">
        <v>12</v>
      </c>
    </row>
    <row r="67" spans="1:5" ht="12.75">
      <c r="A67" s="28" t="s">
        <v>39</v>
      </c>
      <c r="E67" s="29" t="s">
        <v>135</v>
      </c>
    </row>
    <row r="68" spans="1:5" ht="12.75">
      <c r="A68" s="30" t="s">
        <v>41</v>
      </c>
      <c r="E68" s="31" t="s">
        <v>136</v>
      </c>
    </row>
    <row r="69" spans="1:5" ht="63.75">
      <c r="A69" t="s">
        <v>43</v>
      </c>
      <c r="E69" s="29" t="s">
        <v>131</v>
      </c>
    </row>
    <row r="70" spans="1:16" ht="12.75">
      <c r="A70" s="19" t="s">
        <v>34</v>
      </c>
      <c s="23" t="s">
        <v>137</v>
      </c>
      <c s="23" t="s">
        <v>138</v>
      </c>
      <c s="19" t="s">
        <v>36</v>
      </c>
      <c s="24" t="s">
        <v>139</v>
      </c>
      <c s="25" t="s">
        <v>84</v>
      </c>
      <c s="26">
        <v>60.73</v>
      </c>
      <c s="27">
        <v>0</v>
      </c>
      <c s="27">
        <f>ROUND(ROUND(H70,2)*ROUND(G70,3),2)</f>
      </c>
      <c r="O70">
        <f>(I70*21)/100</f>
      </c>
      <c t="s">
        <v>12</v>
      </c>
    </row>
    <row r="71" spans="1:5" ht="12.75">
      <c r="A71" s="28" t="s">
        <v>39</v>
      </c>
      <c r="E71" s="29" t="s">
        <v>140</v>
      </c>
    </row>
    <row r="72" spans="1:5" ht="38.25">
      <c r="A72" s="30" t="s">
        <v>41</v>
      </c>
      <c r="E72" s="31" t="s">
        <v>141</v>
      </c>
    </row>
    <row r="73" spans="1:5" ht="12.75">
      <c r="A73" t="s">
        <v>43</v>
      </c>
      <c r="E73" s="29" t="s">
        <v>36</v>
      </c>
    </row>
    <row r="74" spans="1:16" ht="12.75">
      <c r="A74" s="19" t="s">
        <v>34</v>
      </c>
      <c s="23" t="s">
        <v>142</v>
      </c>
      <c s="23" t="s">
        <v>143</v>
      </c>
      <c s="19" t="s">
        <v>36</v>
      </c>
      <c s="24" t="s">
        <v>144</v>
      </c>
      <c s="25" t="s">
        <v>84</v>
      </c>
      <c s="26">
        <v>3715.79</v>
      </c>
      <c s="27">
        <v>0</v>
      </c>
      <c s="27">
        <f>ROUND(ROUND(H74,2)*ROUND(G74,3),2)</f>
      </c>
      <c r="O74">
        <f>(I74*21)/100</f>
      </c>
      <c t="s">
        <v>12</v>
      </c>
    </row>
    <row r="75" spans="1:5" ht="12.75">
      <c r="A75" s="28" t="s">
        <v>39</v>
      </c>
      <c r="E75" s="29" t="s">
        <v>145</v>
      </c>
    </row>
    <row r="76" spans="1:5" ht="89.25">
      <c r="A76" s="30" t="s">
        <v>41</v>
      </c>
      <c r="E76" s="31" t="s">
        <v>146</v>
      </c>
    </row>
    <row r="77" spans="1:5" ht="12.75">
      <c r="A77" t="s">
        <v>43</v>
      </c>
      <c r="E77" s="29" t="s">
        <v>36</v>
      </c>
    </row>
    <row r="78" spans="1:16" ht="12.75">
      <c r="A78" s="19" t="s">
        <v>34</v>
      </c>
      <c s="23" t="s">
        <v>147</v>
      </c>
      <c s="23" t="s">
        <v>148</v>
      </c>
      <c s="19" t="s">
        <v>36</v>
      </c>
      <c s="24" t="s">
        <v>149</v>
      </c>
      <c s="25" t="s">
        <v>84</v>
      </c>
      <c s="26">
        <v>1809.5</v>
      </c>
      <c s="27">
        <v>0</v>
      </c>
      <c s="27">
        <f>ROUND(ROUND(H78,2)*ROUND(G78,3),2)</f>
      </c>
      <c r="O78">
        <f>(I78*21)/100</f>
      </c>
      <c t="s">
        <v>12</v>
      </c>
    </row>
    <row r="79" spans="1:5" ht="25.5">
      <c r="A79" s="28" t="s">
        <v>39</v>
      </c>
      <c r="E79" s="29" t="s">
        <v>150</v>
      </c>
    </row>
    <row r="80" spans="1:5" ht="12.75">
      <c r="A80" s="30" t="s">
        <v>41</v>
      </c>
      <c r="E80" s="31" t="s">
        <v>151</v>
      </c>
    </row>
    <row r="81" spans="1:5" ht="267.75">
      <c r="A81" t="s">
        <v>43</v>
      </c>
      <c r="E81" s="29" t="s">
        <v>152</v>
      </c>
    </row>
    <row r="82" spans="1:16" ht="12.75">
      <c r="A82" s="19" t="s">
        <v>34</v>
      </c>
      <c s="23" t="s">
        <v>153</v>
      </c>
      <c s="23" t="s">
        <v>154</v>
      </c>
      <c s="19" t="s">
        <v>36</v>
      </c>
      <c s="24" t="s">
        <v>155</v>
      </c>
      <c s="25" t="s">
        <v>84</v>
      </c>
      <c s="26">
        <v>204.27</v>
      </c>
      <c s="27">
        <v>0</v>
      </c>
      <c s="27">
        <f>ROUND(ROUND(H82,2)*ROUND(G82,3),2)</f>
      </c>
      <c r="O82">
        <f>(I82*21)/100</f>
      </c>
      <c t="s">
        <v>12</v>
      </c>
    </row>
    <row r="83" spans="1:5" ht="12.75">
      <c r="A83" s="28" t="s">
        <v>39</v>
      </c>
      <c r="E83" s="29" t="s">
        <v>36</v>
      </c>
    </row>
    <row r="84" spans="1:5" ht="12.75">
      <c r="A84" s="30" t="s">
        <v>41</v>
      </c>
      <c r="E84" s="31" t="s">
        <v>156</v>
      </c>
    </row>
    <row r="85" spans="1:5" ht="12.75">
      <c r="A85" t="s">
        <v>43</v>
      </c>
      <c r="E85" s="29" t="s">
        <v>36</v>
      </c>
    </row>
    <row r="86" spans="1:16" ht="12.75">
      <c r="A86" s="19" t="s">
        <v>34</v>
      </c>
      <c s="23" t="s">
        <v>157</v>
      </c>
      <c s="23" t="s">
        <v>158</v>
      </c>
      <c s="19" t="s">
        <v>36</v>
      </c>
      <c s="24" t="s">
        <v>159</v>
      </c>
      <c s="25" t="s">
        <v>84</v>
      </c>
      <c s="26">
        <v>30.456</v>
      </c>
      <c s="27">
        <v>0</v>
      </c>
      <c s="27">
        <f>ROUND(ROUND(H86,2)*ROUND(G86,3),2)</f>
      </c>
      <c r="O86">
        <f>(I86*21)/100</f>
      </c>
      <c t="s">
        <v>12</v>
      </c>
    </row>
    <row r="87" spans="1:5" ht="12.75">
      <c r="A87" s="28" t="s">
        <v>39</v>
      </c>
      <c r="E87" s="29" t="s">
        <v>160</v>
      </c>
    </row>
    <row r="88" spans="1:5" ht="38.25">
      <c r="A88" s="30" t="s">
        <v>41</v>
      </c>
      <c r="E88" s="31" t="s">
        <v>161</v>
      </c>
    </row>
    <row r="89" spans="1:5" ht="12.75">
      <c r="A89" t="s">
        <v>43</v>
      </c>
      <c r="E89" s="29" t="s">
        <v>36</v>
      </c>
    </row>
    <row r="90" spans="1:16" ht="12.75">
      <c r="A90" s="19" t="s">
        <v>34</v>
      </c>
      <c s="23" t="s">
        <v>162</v>
      </c>
      <c s="23" t="s">
        <v>163</v>
      </c>
      <c s="19" t="s">
        <v>36</v>
      </c>
      <c s="24" t="s">
        <v>164</v>
      </c>
      <c s="25" t="s">
        <v>72</v>
      </c>
      <c s="26">
        <v>7184</v>
      </c>
      <c s="27">
        <v>0</v>
      </c>
      <c s="27">
        <f>ROUND(ROUND(H90,2)*ROUND(G90,3),2)</f>
      </c>
      <c r="O90">
        <f>(I90*21)/100</f>
      </c>
      <c t="s">
        <v>12</v>
      </c>
    </row>
    <row r="91" spans="1:5" ht="12.75">
      <c r="A91" s="28" t="s">
        <v>39</v>
      </c>
      <c r="E91" s="29" t="s">
        <v>165</v>
      </c>
    </row>
    <row r="92" spans="1:5" ht="12.75">
      <c r="A92" s="30" t="s">
        <v>41</v>
      </c>
      <c r="E92" s="31" t="s">
        <v>166</v>
      </c>
    </row>
    <row r="93" spans="1:5" ht="25.5">
      <c r="A93" t="s">
        <v>43</v>
      </c>
      <c r="E93" s="29" t="s">
        <v>167</v>
      </c>
    </row>
    <row r="94" spans="1:16" ht="12.75">
      <c r="A94" s="19" t="s">
        <v>34</v>
      </c>
      <c s="23" t="s">
        <v>168</v>
      </c>
      <c s="23" t="s">
        <v>169</v>
      </c>
      <c s="19" t="s">
        <v>98</v>
      </c>
      <c s="24" t="s">
        <v>170</v>
      </c>
      <c s="25" t="s">
        <v>84</v>
      </c>
      <c s="26">
        <v>527.4</v>
      </c>
      <c s="27">
        <v>0</v>
      </c>
      <c s="27">
        <f>ROUND(ROUND(H94,2)*ROUND(G94,3),2)</f>
      </c>
      <c r="O94">
        <f>(I94*21)/100</f>
      </c>
      <c t="s">
        <v>12</v>
      </c>
    </row>
    <row r="95" spans="1:5" ht="12.75">
      <c r="A95" s="28" t="s">
        <v>39</v>
      </c>
      <c r="E95" s="29" t="s">
        <v>171</v>
      </c>
    </row>
    <row r="96" spans="1:5" ht="12.75">
      <c r="A96" s="30" t="s">
        <v>41</v>
      </c>
      <c r="E96" s="31" t="s">
        <v>172</v>
      </c>
    </row>
    <row r="97" spans="1:5" ht="12.75">
      <c r="A97" t="s">
        <v>43</v>
      </c>
      <c r="E97" s="29" t="s">
        <v>36</v>
      </c>
    </row>
    <row r="98" spans="1:16" ht="12.75">
      <c r="A98" s="19" t="s">
        <v>34</v>
      </c>
      <c s="23" t="s">
        <v>173</v>
      </c>
      <c s="23" t="s">
        <v>174</v>
      </c>
      <c s="19" t="s">
        <v>36</v>
      </c>
      <c s="24" t="s">
        <v>175</v>
      </c>
      <c s="25" t="s">
        <v>72</v>
      </c>
      <c s="26">
        <v>3516</v>
      </c>
      <c s="27">
        <v>0</v>
      </c>
      <c s="27">
        <f>ROUND(ROUND(H98,2)*ROUND(G98,3),2)</f>
      </c>
      <c r="O98">
        <f>(I98*21)/100</f>
      </c>
      <c t="s">
        <v>12</v>
      </c>
    </row>
    <row r="99" spans="1:5" ht="12.75">
      <c r="A99" s="28" t="s">
        <v>39</v>
      </c>
      <c r="E99" s="29" t="s">
        <v>36</v>
      </c>
    </row>
    <row r="100" spans="1:5" ht="12.75">
      <c r="A100" s="30" t="s">
        <v>41</v>
      </c>
      <c r="E100" s="31" t="s">
        <v>176</v>
      </c>
    </row>
    <row r="101" spans="1:5" ht="12.75">
      <c r="A101" t="s">
        <v>43</v>
      </c>
      <c r="E101" s="29" t="s">
        <v>36</v>
      </c>
    </row>
    <row r="102" spans="1:18" ht="12.75" customHeight="1">
      <c r="A102" s="5" t="s">
        <v>32</v>
      </c>
      <c s="5"/>
      <c s="35" t="s">
        <v>12</v>
      </c>
      <c s="5"/>
      <c s="21" t="s">
        <v>177</v>
      </c>
      <c s="5"/>
      <c s="5"/>
      <c s="5"/>
      <c s="36">
        <f>0+Q102</f>
      </c>
      <c r="O102">
        <f>0+R102</f>
      </c>
      <c r="Q102">
        <f>0+I103+I107+I111+I115</f>
      </c>
      <c>
        <f>0+O103+O107+O111+O115</f>
      </c>
    </row>
    <row r="103" spans="1:16" ht="12.75">
      <c r="A103" s="19" t="s">
        <v>34</v>
      </c>
      <c s="23" t="s">
        <v>178</v>
      </c>
      <c s="23" t="s">
        <v>179</v>
      </c>
      <c s="19" t="s">
        <v>36</v>
      </c>
      <c s="24" t="s">
        <v>180</v>
      </c>
      <c s="25" t="s">
        <v>72</v>
      </c>
      <c s="26">
        <v>391</v>
      </c>
      <c s="27">
        <v>0</v>
      </c>
      <c s="27">
        <f>ROUND(ROUND(H103,2)*ROUND(G103,3),2)</f>
      </c>
      <c r="O103">
        <f>(I103*21)/100</f>
      </c>
      <c t="s">
        <v>12</v>
      </c>
    </row>
    <row r="104" spans="1:5" ht="12.75">
      <c r="A104" s="28" t="s">
        <v>39</v>
      </c>
      <c r="E104" s="29" t="s">
        <v>181</v>
      </c>
    </row>
    <row r="105" spans="1:5" ht="12.75">
      <c r="A105" s="30" t="s">
        <v>41</v>
      </c>
      <c r="E105" s="31" t="s">
        <v>182</v>
      </c>
    </row>
    <row r="106" spans="1:5" ht="25.5">
      <c r="A106" t="s">
        <v>43</v>
      </c>
      <c r="E106" s="29" t="s">
        <v>183</v>
      </c>
    </row>
    <row r="107" spans="1:16" ht="12.75">
      <c r="A107" s="19" t="s">
        <v>34</v>
      </c>
      <c s="23" t="s">
        <v>184</v>
      </c>
      <c s="23" t="s">
        <v>185</v>
      </c>
      <c s="19" t="s">
        <v>36</v>
      </c>
      <c s="24" t="s">
        <v>186</v>
      </c>
      <c s="25" t="s">
        <v>104</v>
      </c>
      <c s="26">
        <v>230</v>
      </c>
      <c s="27">
        <v>0</v>
      </c>
      <c s="27">
        <f>ROUND(ROUND(H107,2)*ROUND(G107,3),2)</f>
      </c>
      <c r="O107">
        <f>(I107*21)/100</f>
      </c>
      <c t="s">
        <v>12</v>
      </c>
    </row>
    <row r="108" spans="1:5" ht="12.75">
      <c r="A108" s="28" t="s">
        <v>39</v>
      </c>
      <c r="E108" s="29" t="s">
        <v>36</v>
      </c>
    </row>
    <row r="109" spans="1:5" ht="12.75">
      <c r="A109" s="30" t="s">
        <v>41</v>
      </c>
      <c r="E109" s="31" t="s">
        <v>187</v>
      </c>
    </row>
    <row r="110" spans="1:5" ht="165.75">
      <c r="A110" t="s">
        <v>43</v>
      </c>
      <c r="E110" s="29" t="s">
        <v>188</v>
      </c>
    </row>
    <row r="111" spans="1:16" ht="12.75">
      <c r="A111" s="19" t="s">
        <v>34</v>
      </c>
      <c s="23" t="s">
        <v>189</v>
      </c>
      <c s="23" t="s">
        <v>190</v>
      </c>
      <c s="19" t="s">
        <v>36</v>
      </c>
      <c s="24" t="s">
        <v>191</v>
      </c>
      <c s="25" t="s">
        <v>72</v>
      </c>
      <c s="26">
        <v>7184</v>
      </c>
      <c s="27">
        <v>0</v>
      </c>
      <c s="27">
        <f>ROUND(ROUND(H111,2)*ROUND(G111,3),2)</f>
      </c>
      <c r="O111">
        <f>(I111*21)/100</f>
      </c>
      <c t="s">
        <v>12</v>
      </c>
    </row>
    <row r="112" spans="1:5" ht="12.75">
      <c r="A112" s="28" t="s">
        <v>39</v>
      </c>
      <c r="E112" s="29" t="s">
        <v>192</v>
      </c>
    </row>
    <row r="113" spans="1:5" ht="12.75">
      <c r="A113" s="30" t="s">
        <v>41</v>
      </c>
      <c r="E113" s="31" t="s">
        <v>166</v>
      </c>
    </row>
    <row r="114" spans="1:5" ht="38.25">
      <c r="A114" t="s">
        <v>43</v>
      </c>
      <c r="E114" s="29" t="s">
        <v>193</v>
      </c>
    </row>
    <row r="115" spans="1:16" ht="12.75">
      <c r="A115" s="19" t="s">
        <v>34</v>
      </c>
      <c s="23" t="s">
        <v>194</v>
      </c>
      <c s="23" t="s">
        <v>195</v>
      </c>
      <c s="19" t="s">
        <v>36</v>
      </c>
      <c s="24" t="s">
        <v>196</v>
      </c>
      <c s="25" t="s">
        <v>84</v>
      </c>
      <c s="26">
        <v>2.16</v>
      </c>
      <c s="27">
        <v>0</v>
      </c>
      <c s="27">
        <f>ROUND(ROUND(H115,2)*ROUND(G115,3),2)</f>
      </c>
      <c r="O115">
        <f>(I115*21)/100</f>
      </c>
      <c t="s">
        <v>12</v>
      </c>
    </row>
    <row r="116" spans="1:5" ht="12.75">
      <c r="A116" s="28" t="s">
        <v>39</v>
      </c>
      <c r="E116" s="29" t="s">
        <v>36</v>
      </c>
    </row>
    <row r="117" spans="1:5" ht="38.25">
      <c r="A117" s="30" t="s">
        <v>41</v>
      </c>
      <c r="E117" s="31" t="s">
        <v>197</v>
      </c>
    </row>
    <row r="118" spans="1:5" ht="369.75">
      <c r="A118" t="s">
        <v>43</v>
      </c>
      <c r="E118" s="29" t="s">
        <v>198</v>
      </c>
    </row>
    <row r="119" spans="1:18" ht="12.75" customHeight="1">
      <c r="A119" s="5" t="s">
        <v>32</v>
      </c>
      <c s="5"/>
      <c s="35" t="s">
        <v>22</v>
      </c>
      <c s="5"/>
      <c s="21" t="s">
        <v>199</v>
      </c>
      <c s="5"/>
      <c s="5"/>
      <c s="5"/>
      <c s="36">
        <f>0+Q119</f>
      </c>
      <c r="O119">
        <f>0+R119</f>
      </c>
      <c r="Q119">
        <f>0+I120+I124+I128+I132+I136</f>
      </c>
      <c>
        <f>0+O120+O124+O128+O132+O136</f>
      </c>
    </row>
    <row r="120" spans="1:16" ht="12.75">
      <c r="A120" s="19" t="s">
        <v>34</v>
      </c>
      <c s="23" t="s">
        <v>200</v>
      </c>
      <c s="23" t="s">
        <v>201</v>
      </c>
      <c s="19" t="s">
        <v>36</v>
      </c>
      <c s="24" t="s">
        <v>202</v>
      </c>
      <c s="25" t="s">
        <v>84</v>
      </c>
      <c s="26">
        <v>7.748</v>
      </c>
      <c s="27">
        <v>0</v>
      </c>
      <c s="27">
        <f>ROUND(ROUND(H120,2)*ROUND(G120,3),2)</f>
      </c>
      <c r="O120">
        <f>(I120*21)/100</f>
      </c>
      <c t="s">
        <v>12</v>
      </c>
    </row>
    <row r="121" spans="1:5" ht="12.75">
      <c r="A121" s="28" t="s">
        <v>39</v>
      </c>
      <c r="E121" s="29" t="s">
        <v>36</v>
      </c>
    </row>
    <row r="122" spans="1:5" ht="38.25">
      <c r="A122" s="30" t="s">
        <v>41</v>
      </c>
      <c r="E122" s="31" t="s">
        <v>203</v>
      </c>
    </row>
    <row r="123" spans="1:5" ht="369.75">
      <c r="A123" t="s">
        <v>43</v>
      </c>
      <c r="E123" s="29" t="s">
        <v>204</v>
      </c>
    </row>
    <row r="124" spans="1:16" ht="12.75">
      <c r="A124" s="19" t="s">
        <v>34</v>
      </c>
      <c s="23" t="s">
        <v>205</v>
      </c>
      <c s="23" t="s">
        <v>206</v>
      </c>
      <c s="19" t="s">
        <v>36</v>
      </c>
      <c s="24" t="s">
        <v>207</v>
      </c>
      <c s="25" t="s">
        <v>84</v>
      </c>
      <c s="26">
        <v>15.708</v>
      </c>
      <c s="27">
        <v>0</v>
      </c>
      <c s="27">
        <f>ROUND(ROUND(H124,2)*ROUND(G124,3),2)</f>
      </c>
      <c r="O124">
        <f>(I124*21)/100</f>
      </c>
      <c t="s">
        <v>12</v>
      </c>
    </row>
    <row r="125" spans="1:5" ht="12.75">
      <c r="A125" s="28" t="s">
        <v>39</v>
      </c>
      <c r="E125" s="29" t="s">
        <v>208</v>
      </c>
    </row>
    <row r="126" spans="1:5" ht="63.75">
      <c r="A126" s="30" t="s">
        <v>41</v>
      </c>
      <c r="E126" s="31" t="s">
        <v>209</v>
      </c>
    </row>
    <row r="127" spans="1:5" ht="12.75">
      <c r="A127" t="s">
        <v>43</v>
      </c>
      <c r="E127" s="29" t="s">
        <v>36</v>
      </c>
    </row>
    <row r="128" spans="1:16" ht="12.75">
      <c r="A128" s="19" t="s">
        <v>34</v>
      </c>
      <c s="23" t="s">
        <v>210</v>
      </c>
      <c s="23" t="s">
        <v>211</v>
      </c>
      <c s="19" t="s">
        <v>36</v>
      </c>
      <c s="24" t="s">
        <v>212</v>
      </c>
      <c s="25" t="s">
        <v>84</v>
      </c>
      <c s="26">
        <v>17.274</v>
      </c>
      <c s="27">
        <v>0</v>
      </c>
      <c s="27">
        <f>ROUND(ROUND(H128,2)*ROUND(G128,3),2)</f>
      </c>
      <c r="O128">
        <f>(I128*21)/100</f>
      </c>
      <c t="s">
        <v>12</v>
      </c>
    </row>
    <row r="129" spans="1:5" ht="12.75">
      <c r="A129" s="28" t="s">
        <v>39</v>
      </c>
      <c r="E129" s="29" t="s">
        <v>36</v>
      </c>
    </row>
    <row r="130" spans="1:5" ht="38.25">
      <c r="A130" s="30" t="s">
        <v>41</v>
      </c>
      <c r="E130" s="31" t="s">
        <v>213</v>
      </c>
    </row>
    <row r="131" spans="1:5" ht="38.25">
      <c r="A131" t="s">
        <v>43</v>
      </c>
      <c r="E131" s="29" t="s">
        <v>214</v>
      </c>
    </row>
    <row r="132" spans="1:16" ht="12.75">
      <c r="A132" s="19" t="s">
        <v>34</v>
      </c>
      <c s="23" t="s">
        <v>215</v>
      </c>
      <c s="23" t="s">
        <v>216</v>
      </c>
      <c s="19" t="s">
        <v>36</v>
      </c>
      <c s="24" t="s">
        <v>217</v>
      </c>
      <c s="25" t="s">
        <v>84</v>
      </c>
      <c s="26">
        <v>4.56</v>
      </c>
      <c s="27">
        <v>0</v>
      </c>
      <c s="27">
        <f>ROUND(ROUND(H132,2)*ROUND(G132,3),2)</f>
      </c>
      <c r="O132">
        <f>(I132*21)/100</f>
      </c>
      <c t="s">
        <v>12</v>
      </c>
    </row>
    <row r="133" spans="1:5" ht="12.75">
      <c r="A133" s="28" t="s">
        <v>39</v>
      </c>
      <c r="E133" s="29" t="s">
        <v>218</v>
      </c>
    </row>
    <row r="134" spans="1:5" ht="38.25">
      <c r="A134" s="30" t="s">
        <v>41</v>
      </c>
      <c r="E134" s="31" t="s">
        <v>219</v>
      </c>
    </row>
    <row r="135" spans="1:5" ht="293.25">
      <c r="A135" t="s">
        <v>43</v>
      </c>
      <c r="E135" s="29" t="s">
        <v>220</v>
      </c>
    </row>
    <row r="136" spans="1:16" ht="12.75">
      <c r="A136" s="19" t="s">
        <v>34</v>
      </c>
      <c s="23" t="s">
        <v>221</v>
      </c>
      <c s="23" t="s">
        <v>222</v>
      </c>
      <c s="19" t="s">
        <v>36</v>
      </c>
      <c s="24" t="s">
        <v>223</v>
      </c>
      <c s="25" t="s">
        <v>84</v>
      </c>
      <c s="26">
        <v>18.512</v>
      </c>
      <c s="27">
        <v>0</v>
      </c>
      <c s="27">
        <f>ROUND(ROUND(H136,2)*ROUND(G136,3),2)</f>
      </c>
      <c r="O136">
        <f>(I136*21)/100</f>
      </c>
      <c t="s">
        <v>12</v>
      </c>
    </row>
    <row r="137" spans="1:5" ht="12.75">
      <c r="A137" s="28" t="s">
        <v>39</v>
      </c>
      <c r="E137" s="29" t="s">
        <v>36</v>
      </c>
    </row>
    <row r="138" spans="1:5" ht="38.25">
      <c r="A138" s="30" t="s">
        <v>41</v>
      </c>
      <c r="E138" s="31" t="s">
        <v>224</v>
      </c>
    </row>
    <row r="139" spans="1:5" ht="12.75">
      <c r="A139" t="s">
        <v>43</v>
      </c>
      <c r="E139" s="29" t="s">
        <v>36</v>
      </c>
    </row>
    <row r="140" spans="1:18" ht="12.75" customHeight="1">
      <c r="A140" s="5" t="s">
        <v>32</v>
      </c>
      <c s="5"/>
      <c s="35" t="s">
        <v>24</v>
      </c>
      <c s="5"/>
      <c s="21" t="s">
        <v>225</v>
      </c>
      <c s="5"/>
      <c s="5"/>
      <c s="5"/>
      <c s="36">
        <f>0+Q140</f>
      </c>
      <c r="O140">
        <f>0+R140</f>
      </c>
      <c r="Q140">
        <f>0+I141+I145+I149+I153+I157+I161+I165+I169+I173+I177</f>
      </c>
      <c>
        <f>0+O141+O145+O149+O153+O157+O161+O165+O169+O173+O177</f>
      </c>
    </row>
    <row r="141" spans="1:16" ht="12.75">
      <c r="A141" s="19" t="s">
        <v>34</v>
      </c>
      <c s="23" t="s">
        <v>226</v>
      </c>
      <c s="23" t="s">
        <v>227</v>
      </c>
      <c s="19" t="s">
        <v>36</v>
      </c>
      <c s="24" t="s">
        <v>228</v>
      </c>
      <c s="25" t="s">
        <v>84</v>
      </c>
      <c s="26">
        <v>1436.8</v>
      </c>
      <c s="27">
        <v>0</v>
      </c>
      <c s="27">
        <f>ROUND(ROUND(H141,2)*ROUND(G141,3),2)</f>
      </c>
      <c r="O141">
        <f>(I141*21)/100</f>
      </c>
      <c t="s">
        <v>12</v>
      </c>
    </row>
    <row r="142" spans="1:5" ht="12.75">
      <c r="A142" s="28" t="s">
        <v>39</v>
      </c>
      <c r="E142" s="29" t="s">
        <v>36</v>
      </c>
    </row>
    <row r="143" spans="1:5" ht="12.75">
      <c r="A143" s="30" t="s">
        <v>41</v>
      </c>
      <c r="E143" s="31" t="s">
        <v>229</v>
      </c>
    </row>
    <row r="144" spans="1:5" ht="51">
      <c r="A144" t="s">
        <v>43</v>
      </c>
      <c r="E144" s="29" t="s">
        <v>230</v>
      </c>
    </row>
    <row r="145" spans="1:16" ht="12.75">
      <c r="A145" s="19" t="s">
        <v>34</v>
      </c>
      <c s="23" t="s">
        <v>231</v>
      </c>
      <c s="23" t="s">
        <v>232</v>
      </c>
      <c s="19" t="s">
        <v>98</v>
      </c>
      <c s="24" t="s">
        <v>233</v>
      </c>
      <c s="25" t="s">
        <v>84</v>
      </c>
      <c s="26">
        <v>1380.73</v>
      </c>
      <c s="27">
        <v>0</v>
      </c>
      <c s="27">
        <f>ROUND(ROUND(H145,2)*ROUND(G145,3),2)</f>
      </c>
      <c r="O145">
        <f>(I145*21)/100</f>
      </c>
      <c t="s">
        <v>12</v>
      </c>
    </row>
    <row r="146" spans="1:5" ht="12.75">
      <c r="A146" s="28" t="s">
        <v>39</v>
      </c>
      <c r="E146" s="29" t="s">
        <v>234</v>
      </c>
    </row>
    <row r="147" spans="1:5" ht="12.75">
      <c r="A147" s="30" t="s">
        <v>41</v>
      </c>
      <c r="E147" s="31" t="s">
        <v>235</v>
      </c>
    </row>
    <row r="148" spans="1:5" ht="102">
      <c r="A148" t="s">
        <v>43</v>
      </c>
      <c r="E148" s="29" t="s">
        <v>236</v>
      </c>
    </row>
    <row r="149" spans="1:16" ht="12.75">
      <c r="A149" s="19" t="s">
        <v>34</v>
      </c>
      <c s="23" t="s">
        <v>237</v>
      </c>
      <c s="23" t="s">
        <v>238</v>
      </c>
      <c s="19" t="s">
        <v>36</v>
      </c>
      <c s="24" t="s">
        <v>239</v>
      </c>
      <c s="25" t="s">
        <v>84</v>
      </c>
      <c s="26">
        <v>1380.73</v>
      </c>
      <c s="27">
        <v>0</v>
      </c>
      <c s="27">
        <f>ROUND(ROUND(H149,2)*ROUND(G149,3),2)</f>
      </c>
      <c r="O149">
        <f>(I149*21)/100</f>
      </c>
      <c t="s">
        <v>12</v>
      </c>
    </row>
    <row r="150" spans="1:5" ht="12.75">
      <c r="A150" s="28" t="s">
        <v>39</v>
      </c>
      <c r="E150" s="29" t="s">
        <v>36</v>
      </c>
    </row>
    <row r="151" spans="1:5" ht="12.75">
      <c r="A151" s="30" t="s">
        <v>41</v>
      </c>
      <c r="E151" s="31" t="s">
        <v>235</v>
      </c>
    </row>
    <row r="152" spans="1:5" ht="76.5">
      <c r="A152" t="s">
        <v>43</v>
      </c>
      <c r="E152" s="29" t="s">
        <v>240</v>
      </c>
    </row>
    <row r="153" spans="1:16" ht="12.75">
      <c r="A153" s="19" t="s">
        <v>34</v>
      </c>
      <c s="23" t="s">
        <v>241</v>
      </c>
      <c s="23" t="s">
        <v>242</v>
      </c>
      <c s="19" t="s">
        <v>36</v>
      </c>
      <c s="24" t="s">
        <v>243</v>
      </c>
      <c s="25" t="s">
        <v>84</v>
      </c>
      <c s="26">
        <v>102.135</v>
      </c>
      <c s="27">
        <v>0</v>
      </c>
      <c s="27">
        <f>ROUND(ROUND(H153,2)*ROUND(G153,3),2)</f>
      </c>
      <c r="O153">
        <f>(I153*21)/100</f>
      </c>
      <c t="s">
        <v>12</v>
      </c>
    </row>
    <row r="154" spans="1:5" ht="25.5">
      <c r="A154" s="28" t="s">
        <v>39</v>
      </c>
      <c r="E154" s="29" t="s">
        <v>244</v>
      </c>
    </row>
    <row r="155" spans="1:5" ht="12.75">
      <c r="A155" s="30" t="s">
        <v>41</v>
      </c>
      <c r="E155" s="31" t="s">
        <v>245</v>
      </c>
    </row>
    <row r="156" spans="1:5" ht="102">
      <c r="A156" t="s">
        <v>43</v>
      </c>
      <c r="E156" s="29" t="s">
        <v>236</v>
      </c>
    </row>
    <row r="157" spans="1:16" ht="12.75">
      <c r="A157" s="19" t="s">
        <v>34</v>
      </c>
      <c s="23" t="s">
        <v>246</v>
      </c>
      <c s="23" t="s">
        <v>247</v>
      </c>
      <c s="19" t="s">
        <v>36</v>
      </c>
      <c s="24" t="s">
        <v>248</v>
      </c>
      <c s="25" t="s">
        <v>72</v>
      </c>
      <c s="26">
        <v>6886.8</v>
      </c>
      <c s="27">
        <v>0</v>
      </c>
      <c s="27">
        <f>ROUND(ROUND(H157,2)*ROUND(G157,3),2)</f>
      </c>
      <c r="O157">
        <f>(I157*21)/100</f>
      </c>
      <c t="s">
        <v>12</v>
      </c>
    </row>
    <row r="158" spans="1:5" ht="12.75">
      <c r="A158" s="28" t="s">
        <v>39</v>
      </c>
      <c r="E158" s="29" t="s">
        <v>249</v>
      </c>
    </row>
    <row r="159" spans="1:5" ht="12.75">
      <c r="A159" s="30" t="s">
        <v>41</v>
      </c>
      <c r="E159" s="31" t="s">
        <v>250</v>
      </c>
    </row>
    <row r="160" spans="1:5" ht="51">
      <c r="A160" t="s">
        <v>43</v>
      </c>
      <c r="E160" s="29" t="s">
        <v>251</v>
      </c>
    </row>
    <row r="161" spans="1:16" ht="12.75">
      <c r="A161" s="19" t="s">
        <v>34</v>
      </c>
      <c s="23" t="s">
        <v>252</v>
      </c>
      <c s="23" t="s">
        <v>253</v>
      </c>
      <c s="19" t="s">
        <v>36</v>
      </c>
      <c s="24" t="s">
        <v>254</v>
      </c>
      <c s="25" t="s">
        <v>72</v>
      </c>
      <c s="26">
        <v>12957</v>
      </c>
      <c s="27">
        <v>0</v>
      </c>
      <c s="27">
        <f>ROUND(ROUND(H161,2)*ROUND(G161,3),2)</f>
      </c>
      <c r="O161">
        <f>(I161*21)/100</f>
      </c>
      <c t="s">
        <v>12</v>
      </c>
    </row>
    <row r="162" spans="1:5" ht="12.75">
      <c r="A162" s="28" t="s">
        <v>39</v>
      </c>
      <c r="E162" s="29" t="s">
        <v>255</v>
      </c>
    </row>
    <row r="163" spans="1:5" ht="38.25">
      <c r="A163" s="30" t="s">
        <v>41</v>
      </c>
      <c r="E163" s="31" t="s">
        <v>256</v>
      </c>
    </row>
    <row r="164" spans="1:5" ht="51">
      <c r="A164" t="s">
        <v>43</v>
      </c>
      <c r="E164" s="29" t="s">
        <v>251</v>
      </c>
    </row>
    <row r="165" spans="1:16" ht="12.75">
      <c r="A165" s="19" t="s">
        <v>34</v>
      </c>
      <c s="23" t="s">
        <v>257</v>
      </c>
      <c s="23" t="s">
        <v>258</v>
      </c>
      <c s="19" t="s">
        <v>36</v>
      </c>
      <c s="24" t="s">
        <v>259</v>
      </c>
      <c s="25" t="s">
        <v>72</v>
      </c>
      <c s="26">
        <v>24.66</v>
      </c>
      <c s="27">
        <v>0</v>
      </c>
      <c s="27">
        <f>ROUND(ROUND(H165,2)*ROUND(G165,3),2)</f>
      </c>
      <c r="O165">
        <f>(I165*21)/100</f>
      </c>
      <c t="s">
        <v>12</v>
      </c>
    </row>
    <row r="166" spans="1:5" ht="12.75">
      <c r="A166" s="28" t="s">
        <v>39</v>
      </c>
      <c r="E166" s="29" t="s">
        <v>36</v>
      </c>
    </row>
    <row r="167" spans="1:5" ht="12.75">
      <c r="A167" s="30" t="s">
        <v>41</v>
      </c>
      <c r="E167" s="31" t="s">
        <v>260</v>
      </c>
    </row>
    <row r="168" spans="1:5" ht="51">
      <c r="A168" t="s">
        <v>43</v>
      </c>
      <c r="E168" s="29" t="s">
        <v>261</v>
      </c>
    </row>
    <row r="169" spans="1:16" ht="12.75">
      <c r="A169" s="19" t="s">
        <v>34</v>
      </c>
      <c s="23" t="s">
        <v>262</v>
      </c>
      <c s="23" t="s">
        <v>263</v>
      </c>
      <c s="19" t="s">
        <v>36</v>
      </c>
      <c s="24" t="s">
        <v>264</v>
      </c>
      <c s="25" t="s">
        <v>84</v>
      </c>
      <c s="26">
        <v>248.889</v>
      </c>
      <c s="27">
        <v>0</v>
      </c>
      <c s="27">
        <f>ROUND(ROUND(H169,2)*ROUND(G169,3),2)</f>
      </c>
      <c r="O169">
        <f>(I169*21)/100</f>
      </c>
      <c t="s">
        <v>12</v>
      </c>
    </row>
    <row r="170" spans="1:5" ht="12.75">
      <c r="A170" s="28" t="s">
        <v>39</v>
      </c>
      <c r="E170" s="29" t="s">
        <v>36</v>
      </c>
    </row>
    <row r="171" spans="1:5" ht="12.75">
      <c r="A171" s="30" t="s">
        <v>41</v>
      </c>
      <c r="E171" s="31" t="s">
        <v>265</v>
      </c>
    </row>
    <row r="172" spans="1:5" ht="140.25">
      <c r="A172" t="s">
        <v>43</v>
      </c>
      <c r="E172" s="29" t="s">
        <v>266</v>
      </c>
    </row>
    <row r="173" spans="1:16" ht="12.75">
      <c r="A173" s="19" t="s">
        <v>34</v>
      </c>
      <c s="23" t="s">
        <v>267</v>
      </c>
      <c s="23" t="s">
        <v>268</v>
      </c>
      <c s="19" t="s">
        <v>36</v>
      </c>
      <c s="24" t="s">
        <v>269</v>
      </c>
      <c s="25" t="s">
        <v>84</v>
      </c>
      <c s="26">
        <v>384.06</v>
      </c>
      <c s="27">
        <v>0</v>
      </c>
      <c s="27">
        <f>ROUND(ROUND(H173,2)*ROUND(G173,3),2)</f>
      </c>
      <c r="O173">
        <f>(I173*21)/100</f>
      </c>
      <c t="s">
        <v>12</v>
      </c>
    </row>
    <row r="174" spans="1:5" ht="12.75">
      <c r="A174" s="28" t="s">
        <v>39</v>
      </c>
      <c r="E174" s="29" t="s">
        <v>36</v>
      </c>
    </row>
    <row r="175" spans="1:5" ht="12.75">
      <c r="A175" s="30" t="s">
        <v>41</v>
      </c>
      <c r="E175" s="31" t="s">
        <v>270</v>
      </c>
    </row>
    <row r="176" spans="1:5" ht="140.25">
      <c r="A176" t="s">
        <v>43</v>
      </c>
      <c r="E176" s="29" t="s">
        <v>266</v>
      </c>
    </row>
    <row r="177" spans="1:16" ht="12.75">
      <c r="A177" s="19" t="s">
        <v>34</v>
      </c>
      <c s="23" t="s">
        <v>271</v>
      </c>
      <c s="23" t="s">
        <v>272</v>
      </c>
      <c s="19" t="s">
        <v>36</v>
      </c>
      <c s="24" t="s">
        <v>273</v>
      </c>
      <c s="25" t="s">
        <v>84</v>
      </c>
      <c s="26">
        <v>397.294</v>
      </c>
      <c s="27">
        <v>0</v>
      </c>
      <c s="27">
        <f>ROUND(ROUND(H177,2)*ROUND(G177,3),2)</f>
      </c>
      <c r="O177">
        <f>(I177*21)/100</f>
      </c>
      <c t="s">
        <v>12</v>
      </c>
    </row>
    <row r="178" spans="1:5" ht="12.75">
      <c r="A178" s="28" t="s">
        <v>39</v>
      </c>
      <c r="E178" s="29" t="s">
        <v>36</v>
      </c>
    </row>
    <row r="179" spans="1:5" ht="12.75">
      <c r="A179" s="30" t="s">
        <v>41</v>
      </c>
      <c r="E179" s="31" t="s">
        <v>274</v>
      </c>
    </row>
    <row r="180" spans="1:5" ht="140.25">
      <c r="A180" t="s">
        <v>43</v>
      </c>
      <c r="E180" s="29" t="s">
        <v>266</v>
      </c>
    </row>
    <row r="181" spans="1:18" ht="12.75" customHeight="1">
      <c r="A181" s="5" t="s">
        <v>32</v>
      </c>
      <c s="5"/>
      <c s="35" t="s">
        <v>91</v>
      </c>
      <c s="5"/>
      <c s="21" t="s">
        <v>275</v>
      </c>
      <c s="5"/>
      <c s="5"/>
      <c s="5"/>
      <c s="36">
        <f>0+Q181</f>
      </c>
      <c r="O181">
        <f>0+R181</f>
      </c>
      <c r="Q181">
        <f>0+I182</f>
      </c>
      <c>
        <f>0+O182</f>
      </c>
    </row>
    <row r="182" spans="1:16" ht="25.5">
      <c r="A182" s="19" t="s">
        <v>34</v>
      </c>
      <c s="23" t="s">
        <v>276</v>
      </c>
      <c s="23" t="s">
        <v>277</v>
      </c>
      <c s="19" t="s">
        <v>36</v>
      </c>
      <c s="24" t="s">
        <v>278</v>
      </c>
      <c s="25" t="s">
        <v>72</v>
      </c>
      <c s="26">
        <v>66.398</v>
      </c>
      <c s="27">
        <v>0</v>
      </c>
      <c s="27">
        <f>ROUND(ROUND(H182,2)*ROUND(G182,3),2)</f>
      </c>
      <c r="O182">
        <f>(I182*21)/100</f>
      </c>
      <c t="s">
        <v>12</v>
      </c>
    </row>
    <row r="183" spans="1:5" ht="12.75">
      <c r="A183" s="28" t="s">
        <v>39</v>
      </c>
      <c r="E183" s="29" t="s">
        <v>36</v>
      </c>
    </row>
    <row r="184" spans="1:5" ht="38.25">
      <c r="A184" s="30" t="s">
        <v>41</v>
      </c>
      <c r="E184" s="31" t="s">
        <v>279</v>
      </c>
    </row>
    <row r="185" spans="1:5" ht="191.25">
      <c r="A185" t="s">
        <v>43</v>
      </c>
      <c r="E185" s="29" t="s">
        <v>280</v>
      </c>
    </row>
    <row r="186" spans="1:18" ht="12.75" customHeight="1">
      <c r="A186" s="5" t="s">
        <v>32</v>
      </c>
      <c s="5"/>
      <c s="35" t="s">
        <v>96</v>
      </c>
      <c s="5"/>
      <c s="21" t="s">
        <v>281</v>
      </c>
      <c s="5"/>
      <c s="5"/>
      <c s="5"/>
      <c s="36">
        <f>0+Q186</f>
      </c>
      <c r="O186">
        <f>0+R186</f>
      </c>
      <c r="Q186">
        <f>0+I187</f>
      </c>
      <c>
        <f>0+O187</f>
      </c>
    </row>
    <row r="187" spans="1:16" ht="12.75">
      <c r="A187" s="19" t="s">
        <v>34</v>
      </c>
      <c s="23" t="s">
        <v>282</v>
      </c>
      <c s="23" t="s">
        <v>283</v>
      </c>
      <c s="19" t="s">
        <v>36</v>
      </c>
      <c s="24" t="s">
        <v>284</v>
      </c>
      <c s="25" t="s">
        <v>84</v>
      </c>
      <c s="26">
        <v>3.09</v>
      </c>
      <c s="27">
        <v>0</v>
      </c>
      <c s="27">
        <f>ROUND(ROUND(H187,2)*ROUND(G187,3),2)</f>
      </c>
      <c r="O187">
        <f>(I187*21)/100</f>
      </c>
      <c t="s">
        <v>12</v>
      </c>
    </row>
    <row r="188" spans="1:5" ht="12.75">
      <c r="A188" s="28" t="s">
        <v>39</v>
      </c>
      <c r="E188" s="29" t="s">
        <v>285</v>
      </c>
    </row>
    <row r="189" spans="1:5" ht="12.75">
      <c r="A189" s="30" t="s">
        <v>41</v>
      </c>
      <c r="E189" s="31" t="s">
        <v>286</v>
      </c>
    </row>
    <row r="190" spans="1:5" ht="12.75">
      <c r="A190" t="s">
        <v>43</v>
      </c>
      <c r="E190" s="29" t="s">
        <v>36</v>
      </c>
    </row>
    <row r="191" spans="1:18" ht="12.75" customHeight="1">
      <c r="A191" s="5" t="s">
        <v>32</v>
      </c>
      <c s="5"/>
      <c s="35" t="s">
        <v>29</v>
      </c>
      <c s="5"/>
      <c s="21" t="s">
        <v>287</v>
      </c>
      <c s="5"/>
      <c s="5"/>
      <c s="5"/>
      <c s="36">
        <f>0+Q191</f>
      </c>
      <c r="O191">
        <f>0+R191</f>
      </c>
      <c r="Q191">
        <f>0+I192+I196+I200+I204+I208+I212+I216+I220+I224+I228+I232+I236+I240+I244+I248+I252</f>
      </c>
      <c>
        <f>0+O192+O196+O200+O204+O208+O212+O216+O220+O224+O228+O232+O236+O240+O244+O248+O252</f>
      </c>
    </row>
    <row r="192" spans="1:16" ht="12.75">
      <c r="A192" s="19" t="s">
        <v>34</v>
      </c>
      <c s="23" t="s">
        <v>288</v>
      </c>
      <c s="23" t="s">
        <v>289</v>
      </c>
      <c s="19" t="s">
        <v>36</v>
      </c>
      <c s="24" t="s">
        <v>290</v>
      </c>
      <c s="25" t="s">
        <v>104</v>
      </c>
      <c s="26">
        <v>5</v>
      </c>
      <c s="27">
        <v>0</v>
      </c>
      <c s="27">
        <f>ROUND(ROUND(H192,2)*ROUND(G192,3),2)</f>
      </c>
      <c r="O192">
        <f>(I192*21)/100</f>
      </c>
      <c t="s">
        <v>12</v>
      </c>
    </row>
    <row r="193" spans="1:5" ht="25.5">
      <c r="A193" s="28" t="s">
        <v>39</v>
      </c>
      <c r="E193" s="29" t="s">
        <v>291</v>
      </c>
    </row>
    <row r="194" spans="1:5" ht="12.75">
      <c r="A194" s="30" t="s">
        <v>41</v>
      </c>
      <c r="E194" s="31" t="s">
        <v>292</v>
      </c>
    </row>
    <row r="195" spans="1:5" ht="38.25">
      <c r="A195" t="s">
        <v>43</v>
      </c>
      <c r="E195" s="29" t="s">
        <v>293</v>
      </c>
    </row>
    <row r="196" spans="1:16" ht="12.75">
      <c r="A196" s="19" t="s">
        <v>34</v>
      </c>
      <c s="23" t="s">
        <v>294</v>
      </c>
      <c s="23" t="s">
        <v>295</v>
      </c>
      <c s="19" t="s">
        <v>36</v>
      </c>
      <c s="24" t="s">
        <v>296</v>
      </c>
      <c s="25" t="s">
        <v>297</v>
      </c>
      <c s="26">
        <v>73</v>
      </c>
      <c s="27">
        <v>0</v>
      </c>
      <c s="27">
        <f>ROUND(ROUND(H196,2)*ROUND(G196,3),2)</f>
      </c>
      <c r="O196">
        <f>(I196*21)/100</f>
      </c>
      <c t="s">
        <v>12</v>
      </c>
    </row>
    <row r="197" spans="1:5" ht="12.75">
      <c r="A197" s="28" t="s">
        <v>39</v>
      </c>
      <c r="E197" s="29" t="s">
        <v>36</v>
      </c>
    </row>
    <row r="198" spans="1:5" ht="38.25">
      <c r="A198" s="30" t="s">
        <v>41</v>
      </c>
      <c r="E198" s="31" t="s">
        <v>298</v>
      </c>
    </row>
    <row r="199" spans="1:5" ht="51">
      <c r="A199" t="s">
        <v>43</v>
      </c>
      <c r="E199" s="29" t="s">
        <v>299</v>
      </c>
    </row>
    <row r="200" spans="1:16" ht="12.75">
      <c r="A200" s="19" t="s">
        <v>34</v>
      </c>
      <c s="23" t="s">
        <v>300</v>
      </c>
      <c s="23" t="s">
        <v>301</v>
      </c>
      <c s="19" t="s">
        <v>36</v>
      </c>
      <c s="24" t="s">
        <v>302</v>
      </c>
      <c s="25" t="s">
        <v>297</v>
      </c>
      <c s="26">
        <v>33</v>
      </c>
      <c s="27">
        <v>0</v>
      </c>
      <c s="27">
        <f>ROUND(ROUND(H200,2)*ROUND(G200,3),2)</f>
      </c>
      <c r="O200">
        <f>(I200*21)/100</f>
      </c>
      <c t="s">
        <v>12</v>
      </c>
    </row>
    <row r="201" spans="1:5" ht="12.75">
      <c r="A201" s="28" t="s">
        <v>39</v>
      </c>
      <c r="E201" s="29" t="s">
        <v>36</v>
      </c>
    </row>
    <row r="202" spans="1:5" ht="12.75">
      <c r="A202" s="30" t="s">
        <v>41</v>
      </c>
      <c r="E202" s="31" t="s">
        <v>303</v>
      </c>
    </row>
    <row r="203" spans="1:5" ht="25.5">
      <c r="A203" t="s">
        <v>43</v>
      </c>
      <c r="E203" s="29" t="s">
        <v>304</v>
      </c>
    </row>
    <row r="204" spans="1:16" ht="25.5">
      <c r="A204" s="19" t="s">
        <v>34</v>
      </c>
      <c s="23" t="s">
        <v>305</v>
      </c>
      <c s="23" t="s">
        <v>306</v>
      </c>
      <c s="19" t="s">
        <v>36</v>
      </c>
      <c s="24" t="s">
        <v>307</v>
      </c>
      <c s="25" t="s">
        <v>297</v>
      </c>
      <c s="26">
        <v>1</v>
      </c>
      <c s="27">
        <v>0</v>
      </c>
      <c s="27">
        <f>ROUND(ROUND(H204,2)*ROUND(G204,3),2)</f>
      </c>
      <c r="O204">
        <f>(I204*21)/100</f>
      </c>
      <c t="s">
        <v>12</v>
      </c>
    </row>
    <row r="205" spans="1:5" ht="12.75">
      <c r="A205" s="28" t="s">
        <v>39</v>
      </c>
      <c r="E205" s="29" t="s">
        <v>308</v>
      </c>
    </row>
    <row r="206" spans="1:5" ht="12.75">
      <c r="A206" s="30" t="s">
        <v>41</v>
      </c>
      <c r="E206" s="31" t="s">
        <v>48</v>
      </c>
    </row>
    <row r="207" spans="1:5" ht="63.75">
      <c r="A207" t="s">
        <v>43</v>
      </c>
      <c r="E207" s="29" t="s">
        <v>309</v>
      </c>
    </row>
    <row r="208" spans="1:16" ht="12.75">
      <c r="A208" s="19" t="s">
        <v>34</v>
      </c>
      <c s="23" t="s">
        <v>310</v>
      </c>
      <c s="23" t="s">
        <v>311</v>
      </c>
      <c s="19" t="s">
        <v>36</v>
      </c>
      <c s="24" t="s">
        <v>312</v>
      </c>
      <c s="25" t="s">
        <v>297</v>
      </c>
      <c s="26">
        <v>1</v>
      </c>
      <c s="27">
        <v>0</v>
      </c>
      <c s="27">
        <f>ROUND(ROUND(H208,2)*ROUND(G208,3),2)</f>
      </c>
      <c r="O208">
        <f>(I208*21)/100</f>
      </c>
      <c t="s">
        <v>12</v>
      </c>
    </row>
    <row r="209" spans="1:5" ht="12.75">
      <c r="A209" s="28" t="s">
        <v>39</v>
      </c>
      <c r="E209" s="29" t="s">
        <v>308</v>
      </c>
    </row>
    <row r="210" spans="1:5" ht="12.75">
      <c r="A210" s="30" t="s">
        <v>41</v>
      </c>
      <c r="E210" s="31" t="s">
        <v>48</v>
      </c>
    </row>
    <row r="211" spans="1:5" ht="25.5">
      <c r="A211" t="s">
        <v>43</v>
      </c>
      <c r="E211" s="29" t="s">
        <v>313</v>
      </c>
    </row>
    <row r="212" spans="1:16" ht="25.5">
      <c r="A212" s="19" t="s">
        <v>34</v>
      </c>
      <c s="23" t="s">
        <v>314</v>
      </c>
      <c s="23" t="s">
        <v>315</v>
      </c>
      <c s="19" t="s">
        <v>36</v>
      </c>
      <c s="24" t="s">
        <v>316</v>
      </c>
      <c s="25" t="s">
        <v>72</v>
      </c>
      <c s="26">
        <v>349.5</v>
      </c>
      <c s="27">
        <v>0</v>
      </c>
      <c s="27">
        <f>ROUND(ROUND(H212,2)*ROUND(G212,3),2)</f>
      </c>
      <c r="O212">
        <f>(I212*21)/100</f>
      </c>
      <c t="s">
        <v>12</v>
      </c>
    </row>
    <row r="213" spans="1:5" ht="12.75">
      <c r="A213" s="28" t="s">
        <v>39</v>
      </c>
      <c r="E213" s="29" t="s">
        <v>36</v>
      </c>
    </row>
    <row r="214" spans="1:5" ht="38.25">
      <c r="A214" s="30" t="s">
        <v>41</v>
      </c>
      <c r="E214" s="31" t="s">
        <v>317</v>
      </c>
    </row>
    <row r="215" spans="1:5" ht="38.25">
      <c r="A215" t="s">
        <v>43</v>
      </c>
      <c r="E215" s="29" t="s">
        <v>318</v>
      </c>
    </row>
    <row r="216" spans="1:16" ht="12.75">
      <c r="A216" s="19" t="s">
        <v>34</v>
      </c>
      <c s="23" t="s">
        <v>319</v>
      </c>
      <c s="23" t="s">
        <v>320</v>
      </c>
      <c s="19" t="s">
        <v>36</v>
      </c>
      <c s="24" t="s">
        <v>321</v>
      </c>
      <c s="25" t="s">
        <v>104</v>
      </c>
      <c s="26">
        <v>11.26</v>
      </c>
      <c s="27">
        <v>0</v>
      </c>
      <c s="27">
        <f>ROUND(ROUND(H216,2)*ROUND(G216,3),2)</f>
      </c>
      <c r="O216">
        <f>(I216*21)/100</f>
      </c>
      <c t="s">
        <v>12</v>
      </c>
    </row>
    <row r="217" spans="1:5" ht="12.75">
      <c r="A217" s="28" t="s">
        <v>39</v>
      </c>
      <c r="E217" s="29" t="s">
        <v>36</v>
      </c>
    </row>
    <row r="218" spans="1:5" ht="12.75">
      <c r="A218" s="30" t="s">
        <v>41</v>
      </c>
      <c r="E218" s="31" t="s">
        <v>322</v>
      </c>
    </row>
    <row r="219" spans="1:5" ht="63.75">
      <c r="A219" t="s">
        <v>43</v>
      </c>
      <c r="E219" s="29" t="s">
        <v>323</v>
      </c>
    </row>
    <row r="220" spans="1:16" ht="12.75">
      <c r="A220" s="19" t="s">
        <v>34</v>
      </c>
      <c s="23" t="s">
        <v>324</v>
      </c>
      <c s="23" t="s">
        <v>325</v>
      </c>
      <c s="19" t="s">
        <v>36</v>
      </c>
      <c s="24" t="s">
        <v>326</v>
      </c>
      <c s="25" t="s">
        <v>104</v>
      </c>
      <c s="26">
        <v>15</v>
      </c>
      <c s="27">
        <v>0</v>
      </c>
      <c s="27">
        <f>ROUND(ROUND(H220,2)*ROUND(G220,3),2)</f>
      </c>
      <c r="O220">
        <f>(I220*21)/100</f>
      </c>
      <c t="s">
        <v>12</v>
      </c>
    </row>
    <row r="221" spans="1:5" ht="12.75">
      <c r="A221" s="28" t="s">
        <v>39</v>
      </c>
      <c r="E221" s="29" t="s">
        <v>36</v>
      </c>
    </row>
    <row r="222" spans="1:5" ht="12.75">
      <c r="A222" s="30" t="s">
        <v>41</v>
      </c>
      <c r="E222" s="31" t="s">
        <v>327</v>
      </c>
    </row>
    <row r="223" spans="1:5" ht="63.75">
      <c r="A223" t="s">
        <v>43</v>
      </c>
      <c r="E223" s="29" t="s">
        <v>323</v>
      </c>
    </row>
    <row r="224" spans="1:16" ht="12.75">
      <c r="A224" s="19" t="s">
        <v>34</v>
      </c>
      <c s="23" t="s">
        <v>328</v>
      </c>
      <c s="23" t="s">
        <v>329</v>
      </c>
      <c s="19" t="s">
        <v>36</v>
      </c>
      <c s="24" t="s">
        <v>330</v>
      </c>
      <c s="25" t="s">
        <v>104</v>
      </c>
      <c s="26">
        <v>111.1</v>
      </c>
      <c s="27">
        <v>0</v>
      </c>
      <c s="27">
        <f>ROUND(ROUND(H224,2)*ROUND(G224,3),2)</f>
      </c>
      <c r="O224">
        <f>(I224*21)/100</f>
      </c>
      <c t="s">
        <v>12</v>
      </c>
    </row>
    <row r="225" spans="1:5" ht="12.75">
      <c r="A225" s="28" t="s">
        <v>39</v>
      </c>
      <c r="E225" s="29" t="s">
        <v>36</v>
      </c>
    </row>
    <row r="226" spans="1:5" ht="12.75">
      <c r="A226" s="30" t="s">
        <v>41</v>
      </c>
      <c r="E226" s="31" t="s">
        <v>331</v>
      </c>
    </row>
    <row r="227" spans="1:5" ht="38.25">
      <c r="A227" t="s">
        <v>43</v>
      </c>
      <c r="E227" s="29" t="s">
        <v>332</v>
      </c>
    </row>
    <row r="228" spans="1:16" ht="25.5">
      <c r="A228" s="19" t="s">
        <v>34</v>
      </c>
      <c s="23" t="s">
        <v>333</v>
      </c>
      <c s="23" t="s">
        <v>334</v>
      </c>
      <c s="19" t="s">
        <v>36</v>
      </c>
      <c s="24" t="s">
        <v>335</v>
      </c>
      <c s="25" t="s">
        <v>104</v>
      </c>
      <c s="26">
        <v>313.5</v>
      </c>
      <c s="27">
        <v>0</v>
      </c>
      <c s="27">
        <f>ROUND(ROUND(H228,2)*ROUND(G228,3),2)</f>
      </c>
      <c r="O228">
        <f>(I228*21)/100</f>
      </c>
      <c t="s">
        <v>12</v>
      </c>
    </row>
    <row r="229" spans="1:5" ht="12.75">
      <c r="A229" s="28" t="s">
        <v>39</v>
      </c>
      <c r="E229" s="29" t="s">
        <v>36</v>
      </c>
    </row>
    <row r="230" spans="1:5" ht="12.75">
      <c r="A230" s="30" t="s">
        <v>41</v>
      </c>
      <c r="E230" s="31" t="s">
        <v>336</v>
      </c>
    </row>
    <row r="231" spans="1:5" ht="89.25">
      <c r="A231" t="s">
        <v>43</v>
      </c>
      <c r="E231" s="29" t="s">
        <v>337</v>
      </c>
    </row>
    <row r="232" spans="1:16" ht="12.75">
      <c r="A232" s="19" t="s">
        <v>34</v>
      </c>
      <c s="23" t="s">
        <v>338</v>
      </c>
      <c s="23" t="s">
        <v>339</v>
      </c>
      <c s="19" t="s">
        <v>36</v>
      </c>
      <c s="24" t="s">
        <v>340</v>
      </c>
      <c s="25" t="s">
        <v>72</v>
      </c>
      <c s="26">
        <v>4.06</v>
      </c>
      <c s="27">
        <v>0</v>
      </c>
      <c s="27">
        <f>ROUND(ROUND(H232,2)*ROUND(G232,3),2)</f>
      </c>
      <c r="O232">
        <f>(I232*21)/100</f>
      </c>
      <c t="s">
        <v>12</v>
      </c>
    </row>
    <row r="233" spans="1:5" ht="12.75">
      <c r="A233" s="28" t="s">
        <v>39</v>
      </c>
      <c r="E233" s="29" t="s">
        <v>341</v>
      </c>
    </row>
    <row r="234" spans="1:5" ht="12.75">
      <c r="A234" s="30" t="s">
        <v>41</v>
      </c>
      <c r="E234" s="31" t="s">
        <v>342</v>
      </c>
    </row>
    <row r="235" spans="1:5" ht="25.5">
      <c r="A235" t="s">
        <v>43</v>
      </c>
      <c r="E235" s="29" t="s">
        <v>343</v>
      </c>
    </row>
    <row r="236" spans="1:16" ht="12.75">
      <c r="A236" s="19" t="s">
        <v>34</v>
      </c>
      <c s="23" t="s">
        <v>344</v>
      </c>
      <c s="23" t="s">
        <v>345</v>
      </c>
      <c s="19" t="s">
        <v>36</v>
      </c>
      <c s="24" t="s">
        <v>346</v>
      </c>
      <c s="25" t="s">
        <v>84</v>
      </c>
      <c s="26">
        <v>1.17</v>
      </c>
      <c s="27">
        <v>0</v>
      </c>
      <c s="27">
        <f>ROUND(ROUND(H236,2)*ROUND(G236,3),2)</f>
      </c>
      <c r="O236">
        <f>(I236*21)/100</f>
      </c>
      <c t="s">
        <v>12</v>
      </c>
    </row>
    <row r="237" spans="1:5" ht="12.75">
      <c r="A237" s="28" t="s">
        <v>39</v>
      </c>
      <c r="E237" s="29" t="s">
        <v>36</v>
      </c>
    </row>
    <row r="238" spans="1:5" ht="12.75">
      <c r="A238" s="30" t="s">
        <v>41</v>
      </c>
      <c r="E238" s="31" t="s">
        <v>347</v>
      </c>
    </row>
    <row r="239" spans="1:5" ht="102">
      <c r="A239" t="s">
        <v>43</v>
      </c>
      <c r="E239" s="29" t="s">
        <v>348</v>
      </c>
    </row>
    <row r="240" spans="1:16" ht="12.75">
      <c r="A240" s="19" t="s">
        <v>34</v>
      </c>
      <c s="23" t="s">
        <v>349</v>
      </c>
      <c s="23" t="s">
        <v>350</v>
      </c>
      <c s="19" t="s">
        <v>36</v>
      </c>
      <c s="24" t="s">
        <v>351</v>
      </c>
      <c s="25" t="s">
        <v>84</v>
      </c>
      <c s="26">
        <v>1.364</v>
      </c>
      <c s="27">
        <v>0</v>
      </c>
      <c s="27">
        <f>ROUND(ROUND(H240,2)*ROUND(G240,3),2)</f>
      </c>
      <c r="O240">
        <f>(I240*21)/100</f>
      </c>
      <c t="s">
        <v>12</v>
      </c>
    </row>
    <row r="241" spans="1:5" ht="12.75">
      <c r="A241" s="28" t="s">
        <v>39</v>
      </c>
      <c r="E241" s="29" t="s">
        <v>352</v>
      </c>
    </row>
    <row r="242" spans="1:5" ht="38.25">
      <c r="A242" s="30" t="s">
        <v>41</v>
      </c>
      <c r="E242" s="31" t="s">
        <v>353</v>
      </c>
    </row>
    <row r="243" spans="1:5" ht="102">
      <c r="A243" t="s">
        <v>43</v>
      </c>
      <c r="E243" s="29" t="s">
        <v>348</v>
      </c>
    </row>
    <row r="244" spans="1:16" ht="12.75">
      <c r="A244" s="19" t="s">
        <v>34</v>
      </c>
      <c s="23" t="s">
        <v>354</v>
      </c>
      <c s="23" t="s">
        <v>355</v>
      </c>
      <c s="19" t="s">
        <v>36</v>
      </c>
      <c s="24" t="s">
        <v>356</v>
      </c>
      <c s="25" t="s">
        <v>84</v>
      </c>
      <c s="26">
        <v>13.866</v>
      </c>
      <c s="27">
        <v>0</v>
      </c>
      <c s="27">
        <f>ROUND(ROUND(H244,2)*ROUND(G244,3),2)</f>
      </c>
      <c r="O244">
        <f>(I244*21)/100</f>
      </c>
      <c t="s">
        <v>12</v>
      </c>
    </row>
    <row r="245" spans="1:5" ht="25.5">
      <c r="A245" s="28" t="s">
        <v>39</v>
      </c>
      <c r="E245" s="29" t="s">
        <v>357</v>
      </c>
    </row>
    <row r="246" spans="1:5" ht="38.25">
      <c r="A246" s="30" t="s">
        <v>41</v>
      </c>
      <c r="E246" s="31" t="s">
        <v>358</v>
      </c>
    </row>
    <row r="247" spans="1:5" ht="102">
      <c r="A247" t="s">
        <v>43</v>
      </c>
      <c r="E247" s="29" t="s">
        <v>348</v>
      </c>
    </row>
    <row r="248" spans="1:16" ht="12.75">
      <c r="A248" s="19" t="s">
        <v>34</v>
      </c>
      <c s="23" t="s">
        <v>359</v>
      </c>
      <c s="23" t="s">
        <v>360</v>
      </c>
      <c s="19" t="s">
        <v>36</v>
      </c>
      <c s="24" t="s">
        <v>361</v>
      </c>
      <c s="25" t="s">
        <v>104</v>
      </c>
      <c s="26">
        <v>8.9</v>
      </c>
      <c s="27">
        <v>0</v>
      </c>
      <c s="27">
        <f>ROUND(ROUND(H248,2)*ROUND(G248,3),2)</f>
      </c>
      <c r="O248">
        <f>(I248*21)/100</f>
      </c>
      <c t="s">
        <v>12</v>
      </c>
    </row>
    <row r="249" spans="1:5" ht="12.75">
      <c r="A249" s="28" t="s">
        <v>39</v>
      </c>
      <c r="E249" s="29" t="s">
        <v>78</v>
      </c>
    </row>
    <row r="250" spans="1:5" ht="12.75">
      <c r="A250" s="30" t="s">
        <v>41</v>
      </c>
      <c r="E250" s="31" t="s">
        <v>362</v>
      </c>
    </row>
    <row r="251" spans="1:5" ht="114.75">
      <c r="A251" t="s">
        <v>43</v>
      </c>
      <c r="E251" s="29" t="s">
        <v>363</v>
      </c>
    </row>
    <row r="252" spans="1:16" ht="12.75">
      <c r="A252" s="19" t="s">
        <v>34</v>
      </c>
      <c s="23" t="s">
        <v>364</v>
      </c>
      <c s="23" t="s">
        <v>365</v>
      </c>
      <c s="19" t="s">
        <v>36</v>
      </c>
      <c s="24" t="s">
        <v>366</v>
      </c>
      <c s="25" t="s">
        <v>104</v>
      </c>
      <c s="26">
        <v>14.5</v>
      </c>
      <c s="27">
        <v>0</v>
      </c>
      <c s="27">
        <f>ROUND(ROUND(H252,2)*ROUND(G252,3),2)</f>
      </c>
      <c r="O252">
        <f>(I252*21)/100</f>
      </c>
      <c t="s">
        <v>12</v>
      </c>
    </row>
    <row r="253" spans="1:5" ht="12.75">
      <c r="A253" s="28" t="s">
        <v>39</v>
      </c>
      <c r="E253" s="29" t="s">
        <v>36</v>
      </c>
    </row>
    <row r="254" spans="1:5" ht="12.75">
      <c r="A254" s="30" t="s">
        <v>41</v>
      </c>
      <c r="E254" s="31" t="s">
        <v>367</v>
      </c>
    </row>
    <row r="255" spans="1:5" ht="114.75">
      <c r="A255" t="s">
        <v>43</v>
      </c>
      <c r="E255" s="29" t="s">
        <v>363</v>
      </c>
    </row>
  </sheetData>
  <mergeCells count="10">
    <mergeCell ref="C3:D3"/>
    <mergeCell ref="C4:D4"/>
    <mergeCell ref="A5:A6"/>
    <mergeCell ref="B5:B6"/>
    <mergeCell ref="C5:C6"/>
    <mergeCell ref="D5:D6"/>
    <mergeCell ref="E5:E6"/>
    <mergeCell ref="F5:F6"/>
    <mergeCell ref="G5:G6"/>
    <mergeCell ref="H5:I5"/>
  </mergeCells>
  <printOptions/>
  <pageMargins left="0.75" right="0.75" top="1" bottom="1" header="0.5" footer="0.5"/>
  <pageSetup fitToHeight="0" horizontalDpi="300" verticalDpi="300" orientation="portrait" paperSize="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61"/>
  <sheetViews>
    <sheetView workbookViewId="0" topLeftCell="A1">
      <pane ySplit="7" topLeftCell="A8" activePane="bottomLeft" state="frozen"/>
      <selection pane="topLeft" activeCell="A1" sqref="A1"/>
      <selection pane="bottomLeft" activeCell="A8" sqref="A8"/>
    </sheetView>
  </sheetViews>
  <sheetFormatPr defaultColWidth="9.14285714285714" defaultRowHeight="12.75" customHeight="1"/>
  <cols>
    <col min="1" max="1" width="9.14285714285714" hidden="1" customWidth="1"/>
    <col min="2" max="2" width="11.7142857142857" customWidth="1"/>
    <col min="3" max="3" width="14.7142857142857" customWidth="1"/>
    <col min="4" max="4" width="9.71428571428571" customWidth="1"/>
    <col min="5" max="5" width="70.7142857142857" customWidth="1"/>
    <col min="6" max="6" width="11.7142857142857" customWidth="1"/>
    <col min="7" max="9" width="16.7142857142857" customWidth="1"/>
    <col min="15" max="18" width="9.14285714285714" hidden="1" customWidth="1"/>
  </cols>
  <sheetData>
    <row r="1" spans="1:16" ht="12.75" customHeight="1">
      <c r="A1" t="s">
        <v>0</v>
      </c>
      <c s="1"/>
      <c s="1"/>
      <c s="1"/>
      <c s="1"/>
      <c s="1"/>
      <c s="1"/>
      <c s="1"/>
      <c s="1"/>
      <c r="P1" t="s">
        <v>11</v>
      </c>
    </row>
    <row r="2" spans="2:16" ht="25" customHeight="1">
      <c r="B2" s="1"/>
      <c s="1"/>
      <c s="1"/>
      <c s="2" t="s">
        <v>2</v>
      </c>
      <c s="1"/>
      <c s="1"/>
      <c s="5"/>
      <c s="5"/>
      <c r="O2">
        <f>0+O8+O13</f>
      </c>
      <c t="s">
        <v>11</v>
      </c>
    </row>
    <row r="3" spans="1:16" ht="15" customHeight="1">
      <c r="A3" t="s">
        <v>1</v>
      </c>
      <c s="8" t="s">
        <v>3</v>
      </c>
      <c s="9" t="s">
        <v>4</v>
      </c>
      <c s="1"/>
      <c s="10" t="s">
        <v>5</v>
      </c>
      <c s="1"/>
      <c s="4"/>
      <c s="3" t="s">
        <v>368</v>
      </c>
      <c s="32">
        <f>0+I8+I13</f>
      </c>
      <c r="O3" t="s">
        <v>8</v>
      </c>
      <c t="s">
        <v>12</v>
      </c>
    </row>
    <row r="4" spans="1:16" ht="15" customHeight="1">
      <c r="A4" t="s">
        <v>6</v>
      </c>
      <c s="12" t="s">
        <v>7</v>
      </c>
      <c s="13" t="s">
        <v>368</v>
      </c>
      <c s="5"/>
      <c s="14" t="s">
        <v>369</v>
      </c>
      <c s="5"/>
      <c s="5"/>
      <c s="15"/>
      <c s="15"/>
      <c r="O4" t="s">
        <v>9</v>
      </c>
      <c t="s">
        <v>12</v>
      </c>
    </row>
    <row r="5" spans="1:16" ht="12.75" customHeight="1">
      <c r="A5" s="11" t="s">
        <v>15</v>
      </c>
      <c s="11" t="s">
        <v>17</v>
      </c>
      <c s="11" t="s">
        <v>19</v>
      </c>
      <c s="11" t="s">
        <v>20</v>
      </c>
      <c s="11" t="s">
        <v>21</v>
      </c>
      <c s="11" t="s">
        <v>23</v>
      </c>
      <c s="11" t="s">
        <v>25</v>
      </c>
      <c s="11" t="s">
        <v>27</v>
      </c>
      <c s="11"/>
      <c r="O5" t="s">
        <v>10</v>
      </c>
      <c t="s">
        <v>12</v>
      </c>
    </row>
    <row r="6" spans="1:9" ht="12.75" customHeight="1">
      <c r="A6" s="11"/>
      <c s="11"/>
      <c s="11"/>
      <c s="11"/>
      <c s="11"/>
      <c s="11"/>
      <c s="11"/>
      <c s="11" t="s">
        <v>28</v>
      </c>
      <c s="11" t="s">
        <v>30</v>
      </c>
    </row>
    <row r="7" spans="1:9" ht="12.75" customHeight="1">
      <c r="A7" s="11" t="s">
        <v>16</v>
      </c>
      <c s="11" t="s">
        <v>18</v>
      </c>
      <c s="11" t="s">
        <v>12</v>
      </c>
      <c s="11" t="s">
        <v>11</v>
      </c>
      <c s="11" t="s">
        <v>22</v>
      </c>
      <c s="11" t="s">
        <v>24</v>
      </c>
      <c s="11" t="s">
        <v>26</v>
      </c>
      <c s="11" t="s">
        <v>29</v>
      </c>
      <c s="11" t="s">
        <v>31</v>
      </c>
    </row>
    <row r="8" spans="1:18" ht="12.75" customHeight="1">
      <c r="A8" s="15" t="s">
        <v>32</v>
      </c>
      <c s="15"/>
      <c s="20" t="s">
        <v>16</v>
      </c>
      <c s="15"/>
      <c s="21" t="s">
        <v>33</v>
      </c>
      <c s="15"/>
      <c s="15"/>
      <c s="15"/>
      <c s="22">
        <f>0+Q8</f>
      </c>
      <c r="O8">
        <f>0+R8</f>
      </c>
      <c r="Q8">
        <f>0+I9</f>
      </c>
      <c>
        <f>0+O9</f>
      </c>
    </row>
    <row r="9" spans="1:16" ht="12.75">
      <c r="A9" s="19" t="s">
        <v>34</v>
      </c>
      <c s="23" t="s">
        <v>18</v>
      </c>
      <c s="23" t="s">
        <v>370</v>
      </c>
      <c s="19" t="s">
        <v>98</v>
      </c>
      <c s="24" t="s">
        <v>371</v>
      </c>
      <c s="25" t="s">
        <v>47</v>
      </c>
      <c s="26">
        <v>1</v>
      </c>
      <c s="27">
        <v>0</v>
      </c>
      <c s="27">
        <f>ROUND(ROUND(H9,2)*ROUND(G9,3),2)</f>
      </c>
      <c r="O9">
        <f>(I9*21)/100</f>
      </c>
      <c t="s">
        <v>12</v>
      </c>
    </row>
    <row r="10" spans="1:5" ht="51">
      <c r="A10" s="28" t="s">
        <v>39</v>
      </c>
      <c r="E10" s="29" t="s">
        <v>372</v>
      </c>
    </row>
    <row r="11" spans="1:5" ht="12.75">
      <c r="A11" s="30" t="s">
        <v>41</v>
      </c>
      <c r="E11" s="31" t="s">
        <v>48</v>
      </c>
    </row>
    <row r="12" spans="1:5" ht="12.75">
      <c r="A12" t="s">
        <v>43</v>
      </c>
      <c r="E12" s="29" t="s">
        <v>373</v>
      </c>
    </row>
    <row r="13" spans="1:18" ht="12.75" customHeight="1">
      <c r="A13" s="5" t="s">
        <v>32</v>
      </c>
      <c s="5"/>
      <c s="35" t="s">
        <v>29</v>
      </c>
      <c s="5"/>
      <c s="21" t="s">
        <v>287</v>
      </c>
      <c s="5"/>
      <c s="5"/>
      <c s="5"/>
      <c s="36">
        <f>0+Q13</f>
      </c>
      <c r="O13">
        <f>0+R13</f>
      </c>
      <c r="Q13">
        <f>0+I14+I18+I22+I26+I30+I34+I38+I42+I46+I50+I54+I58</f>
      </c>
      <c>
        <f>0+O14+O18+O22+O26+O30+O34+O38+O42+O46+O50+O54+O58</f>
      </c>
    </row>
    <row r="14" spans="1:16" ht="25.5">
      <c r="A14" s="19" t="s">
        <v>34</v>
      </c>
      <c s="23" t="s">
        <v>12</v>
      </c>
      <c s="23" t="s">
        <v>306</v>
      </c>
      <c s="19" t="s">
        <v>36</v>
      </c>
      <c s="24" t="s">
        <v>307</v>
      </c>
      <c s="25" t="s">
        <v>297</v>
      </c>
      <c s="26">
        <v>19</v>
      </c>
      <c s="27">
        <v>0</v>
      </c>
      <c s="27">
        <f>ROUND(ROUND(H14,2)*ROUND(G14,3),2)</f>
      </c>
      <c r="O14">
        <f>(I14*21)/100</f>
      </c>
      <c t="s">
        <v>12</v>
      </c>
    </row>
    <row r="15" spans="1:5" ht="38.25">
      <c r="A15" s="28" t="s">
        <v>39</v>
      </c>
      <c r="E15" s="29" t="s">
        <v>374</v>
      </c>
    </row>
    <row r="16" spans="1:5" ht="12.75">
      <c r="A16" s="30" t="s">
        <v>41</v>
      </c>
      <c r="E16" s="31" t="s">
        <v>375</v>
      </c>
    </row>
    <row r="17" spans="1:5" ht="12.75">
      <c r="A17" t="s">
        <v>43</v>
      </c>
      <c r="E17" s="29" t="s">
        <v>36</v>
      </c>
    </row>
    <row r="18" spans="1:16" ht="12.75">
      <c r="A18" s="19" t="s">
        <v>34</v>
      </c>
      <c s="23" t="s">
        <v>11</v>
      </c>
      <c s="23" t="s">
        <v>311</v>
      </c>
      <c s="19" t="s">
        <v>36</v>
      </c>
      <c s="24" t="s">
        <v>312</v>
      </c>
      <c s="25" t="s">
        <v>297</v>
      </c>
      <c s="26">
        <v>19</v>
      </c>
      <c s="27">
        <v>0</v>
      </c>
      <c s="27">
        <f>ROUND(ROUND(H18,2)*ROUND(G18,3),2)</f>
      </c>
      <c r="O18">
        <f>(I18*21)/100</f>
      </c>
      <c t="s">
        <v>12</v>
      </c>
    </row>
    <row r="19" spans="1:5" ht="12.75">
      <c r="A19" s="28" t="s">
        <v>39</v>
      </c>
      <c r="E19" s="29" t="s">
        <v>36</v>
      </c>
    </row>
    <row r="20" spans="1:5" ht="12.75">
      <c r="A20" s="30" t="s">
        <v>41</v>
      </c>
      <c r="E20" s="31" t="s">
        <v>375</v>
      </c>
    </row>
    <row r="21" spans="1:5" ht="51">
      <c r="A21" t="s">
        <v>43</v>
      </c>
      <c r="E21" s="29" t="s">
        <v>376</v>
      </c>
    </row>
    <row r="22" spans="1:16" ht="12.75">
      <c r="A22" s="19" t="s">
        <v>34</v>
      </c>
      <c s="23" t="s">
        <v>22</v>
      </c>
      <c s="23" t="s">
        <v>377</v>
      </c>
      <c s="19" t="s">
        <v>36</v>
      </c>
      <c s="24" t="s">
        <v>378</v>
      </c>
      <c s="25" t="s">
        <v>379</v>
      </c>
      <c s="26">
        <v>589</v>
      </c>
      <c s="27">
        <v>0</v>
      </c>
      <c s="27">
        <f>ROUND(ROUND(H22,2)*ROUND(G22,3),2)</f>
      </c>
      <c r="O22">
        <f>(I22*21)/100</f>
      </c>
      <c t="s">
        <v>12</v>
      </c>
    </row>
    <row r="23" spans="1:5" ht="12.75">
      <c r="A23" s="28" t="s">
        <v>39</v>
      </c>
      <c r="E23" s="29" t="s">
        <v>36</v>
      </c>
    </row>
    <row r="24" spans="1:5" ht="12.75">
      <c r="A24" s="30" t="s">
        <v>41</v>
      </c>
      <c r="E24" s="31" t="s">
        <v>380</v>
      </c>
    </row>
    <row r="25" spans="1:5" ht="76.5">
      <c r="A25" t="s">
        <v>43</v>
      </c>
      <c r="E25" s="29" t="s">
        <v>381</v>
      </c>
    </row>
    <row r="26" spans="1:16" ht="25.5">
      <c r="A26" s="19" t="s">
        <v>34</v>
      </c>
      <c s="23" t="s">
        <v>24</v>
      </c>
      <c s="23" t="s">
        <v>382</v>
      </c>
      <c s="19" t="s">
        <v>36</v>
      </c>
      <c s="24" t="s">
        <v>383</v>
      </c>
      <c s="25" t="s">
        <v>297</v>
      </c>
      <c s="26">
        <v>3</v>
      </c>
      <c s="27">
        <v>0</v>
      </c>
      <c s="27">
        <f>ROUND(ROUND(H26,2)*ROUND(G26,3),2)</f>
      </c>
      <c r="O26">
        <f>(I26*21)/100</f>
      </c>
      <c t="s">
        <v>12</v>
      </c>
    </row>
    <row r="27" spans="1:5" ht="12.75">
      <c r="A27" s="28" t="s">
        <v>39</v>
      </c>
      <c r="E27" s="29" t="s">
        <v>384</v>
      </c>
    </row>
    <row r="28" spans="1:5" ht="12.75">
      <c r="A28" s="30" t="s">
        <v>41</v>
      </c>
      <c r="E28" s="31" t="s">
        <v>385</v>
      </c>
    </row>
    <row r="29" spans="1:5" ht="76.5">
      <c r="A29" t="s">
        <v>43</v>
      </c>
      <c r="E29" s="29" t="s">
        <v>386</v>
      </c>
    </row>
    <row r="30" spans="1:16" ht="12.75">
      <c r="A30" s="19" t="s">
        <v>34</v>
      </c>
      <c s="23" t="s">
        <v>26</v>
      </c>
      <c s="23" t="s">
        <v>387</v>
      </c>
      <c s="19" t="s">
        <v>36</v>
      </c>
      <c s="24" t="s">
        <v>388</v>
      </c>
      <c s="25" t="s">
        <v>297</v>
      </c>
      <c s="26">
        <v>3</v>
      </c>
      <c s="27">
        <v>0</v>
      </c>
      <c s="27">
        <f>ROUND(ROUND(H30,2)*ROUND(G30,3),2)</f>
      </c>
      <c r="O30">
        <f>(I30*21)/100</f>
      </c>
      <c t="s">
        <v>12</v>
      </c>
    </row>
    <row r="31" spans="1:5" ht="12.75">
      <c r="A31" s="28" t="s">
        <v>39</v>
      </c>
      <c r="E31" s="29" t="s">
        <v>36</v>
      </c>
    </row>
    <row r="32" spans="1:5" ht="12.75">
      <c r="A32" s="30" t="s">
        <v>41</v>
      </c>
      <c r="E32" s="31" t="s">
        <v>385</v>
      </c>
    </row>
    <row r="33" spans="1:5" ht="51">
      <c r="A33" t="s">
        <v>43</v>
      </c>
      <c r="E33" s="29" t="s">
        <v>376</v>
      </c>
    </row>
    <row r="34" spans="1:16" ht="12.75">
      <c r="A34" s="19" t="s">
        <v>34</v>
      </c>
      <c s="23" t="s">
        <v>91</v>
      </c>
      <c s="23" t="s">
        <v>389</v>
      </c>
      <c s="19" t="s">
        <v>36</v>
      </c>
      <c s="24" t="s">
        <v>390</v>
      </c>
      <c s="25" t="s">
        <v>379</v>
      </c>
      <c s="26">
        <v>93</v>
      </c>
      <c s="27">
        <v>0</v>
      </c>
      <c s="27">
        <f>ROUND(ROUND(H34,2)*ROUND(G34,3),2)</f>
      </c>
      <c r="O34">
        <f>(I34*21)/100</f>
      </c>
      <c t="s">
        <v>12</v>
      </c>
    </row>
    <row r="35" spans="1:5" ht="12.75">
      <c r="A35" s="28" t="s">
        <v>39</v>
      </c>
      <c r="E35" s="29" t="s">
        <v>36</v>
      </c>
    </row>
    <row r="36" spans="1:5" ht="12.75">
      <c r="A36" s="30" t="s">
        <v>41</v>
      </c>
      <c r="E36" s="31" t="s">
        <v>391</v>
      </c>
    </row>
    <row r="37" spans="1:5" ht="25.5">
      <c r="A37" t="s">
        <v>43</v>
      </c>
      <c r="E37" s="29" t="s">
        <v>392</v>
      </c>
    </row>
    <row r="38" spans="1:16" ht="12.75">
      <c r="A38" s="19" t="s">
        <v>34</v>
      </c>
      <c s="23" t="s">
        <v>96</v>
      </c>
      <c s="23" t="s">
        <v>393</v>
      </c>
      <c s="19" t="s">
        <v>36</v>
      </c>
      <c s="24" t="s">
        <v>394</v>
      </c>
      <c s="25" t="s">
        <v>297</v>
      </c>
      <c s="26">
        <v>6</v>
      </c>
      <c s="27">
        <v>0</v>
      </c>
      <c s="27">
        <f>ROUND(ROUND(H38,2)*ROUND(G38,3),2)</f>
      </c>
      <c r="O38">
        <f>(I38*21)/100</f>
      </c>
      <c t="s">
        <v>12</v>
      </c>
    </row>
    <row r="39" spans="1:5" ht="12.75">
      <c r="A39" s="28" t="s">
        <v>39</v>
      </c>
      <c r="E39" s="29" t="s">
        <v>36</v>
      </c>
    </row>
    <row r="40" spans="1:5" ht="12.75">
      <c r="A40" s="30" t="s">
        <v>41</v>
      </c>
      <c r="E40" s="31" t="s">
        <v>395</v>
      </c>
    </row>
    <row r="41" spans="1:5" ht="114.75">
      <c r="A41" t="s">
        <v>43</v>
      </c>
      <c r="E41" s="29" t="s">
        <v>396</v>
      </c>
    </row>
    <row r="42" spans="1:16" ht="12.75">
      <c r="A42" s="19" t="s">
        <v>34</v>
      </c>
      <c s="23" t="s">
        <v>29</v>
      </c>
      <c s="23" t="s">
        <v>397</v>
      </c>
      <c s="19" t="s">
        <v>36</v>
      </c>
      <c s="24" t="s">
        <v>398</v>
      </c>
      <c s="25" t="s">
        <v>297</v>
      </c>
      <c s="26">
        <v>6</v>
      </c>
      <c s="27">
        <v>0</v>
      </c>
      <c s="27">
        <f>ROUND(ROUND(H42,2)*ROUND(G42,3),2)</f>
      </c>
      <c r="O42">
        <f>(I42*21)/100</f>
      </c>
      <c t="s">
        <v>12</v>
      </c>
    </row>
    <row r="43" spans="1:5" ht="12.75">
      <c r="A43" s="28" t="s">
        <v>39</v>
      </c>
      <c r="E43" s="29" t="s">
        <v>36</v>
      </c>
    </row>
    <row r="44" spans="1:5" ht="12.75">
      <c r="A44" s="30" t="s">
        <v>41</v>
      </c>
      <c r="E44" s="31" t="s">
        <v>395</v>
      </c>
    </row>
    <row r="45" spans="1:5" ht="51">
      <c r="A45" t="s">
        <v>43</v>
      </c>
      <c r="E45" s="29" t="s">
        <v>376</v>
      </c>
    </row>
    <row r="46" spans="1:16" ht="12.75">
      <c r="A46" s="19" t="s">
        <v>34</v>
      </c>
      <c s="23" t="s">
        <v>31</v>
      </c>
      <c s="23" t="s">
        <v>399</v>
      </c>
      <c s="19" t="s">
        <v>36</v>
      </c>
      <c s="24" t="s">
        <v>400</v>
      </c>
      <c s="25" t="s">
        <v>379</v>
      </c>
      <c s="26">
        <v>186</v>
      </c>
      <c s="27">
        <v>0</v>
      </c>
      <c s="27">
        <f>ROUND(ROUND(H46,2)*ROUND(G46,3),2)</f>
      </c>
      <c r="O46">
        <f>(I46*21)/100</f>
      </c>
      <c t="s">
        <v>12</v>
      </c>
    </row>
    <row r="47" spans="1:5" ht="12.75">
      <c r="A47" s="28" t="s">
        <v>39</v>
      </c>
      <c r="E47" s="29" t="s">
        <v>36</v>
      </c>
    </row>
    <row r="48" spans="1:5" ht="12.75">
      <c r="A48" s="30" t="s">
        <v>41</v>
      </c>
      <c r="E48" s="31" t="s">
        <v>401</v>
      </c>
    </row>
    <row r="49" spans="1:5" ht="76.5">
      <c r="A49" t="s">
        <v>43</v>
      </c>
      <c r="E49" s="29" t="s">
        <v>402</v>
      </c>
    </row>
    <row r="50" spans="1:16" ht="12.75">
      <c r="A50" s="19" t="s">
        <v>34</v>
      </c>
      <c s="23" t="s">
        <v>112</v>
      </c>
      <c s="23" t="s">
        <v>403</v>
      </c>
      <c s="19" t="s">
        <v>36</v>
      </c>
      <c s="24" t="s">
        <v>404</v>
      </c>
      <c s="25" t="s">
        <v>297</v>
      </c>
      <c s="26">
        <v>2</v>
      </c>
      <c s="27">
        <v>0</v>
      </c>
      <c s="27">
        <f>ROUND(ROUND(H50,2)*ROUND(G50,3),2)</f>
      </c>
      <c r="O50">
        <f>(I50*21)/100</f>
      </c>
      <c t="s">
        <v>12</v>
      </c>
    </row>
    <row r="51" spans="1:5" ht="12.75">
      <c r="A51" s="28" t="s">
        <v>39</v>
      </c>
      <c r="E51" s="29" t="s">
        <v>36</v>
      </c>
    </row>
    <row r="52" spans="1:5" ht="12.75">
      <c r="A52" s="30" t="s">
        <v>41</v>
      </c>
      <c r="E52" s="31" t="s">
        <v>405</v>
      </c>
    </row>
    <row r="53" spans="1:5" ht="102">
      <c r="A53" t="s">
        <v>43</v>
      </c>
      <c r="E53" s="29" t="s">
        <v>406</v>
      </c>
    </row>
    <row r="54" spans="1:16" ht="12.75">
      <c r="A54" s="19" t="s">
        <v>34</v>
      </c>
      <c s="23" t="s">
        <v>115</v>
      </c>
      <c s="23" t="s">
        <v>407</v>
      </c>
      <c s="19" t="s">
        <v>36</v>
      </c>
      <c s="24" t="s">
        <v>408</v>
      </c>
      <c s="25" t="s">
        <v>297</v>
      </c>
      <c s="26">
        <v>2</v>
      </c>
      <c s="27">
        <v>0</v>
      </c>
      <c s="27">
        <f>ROUND(ROUND(H54,2)*ROUND(G54,3),2)</f>
      </c>
      <c r="O54">
        <f>(I54*21)/100</f>
      </c>
      <c t="s">
        <v>12</v>
      </c>
    </row>
    <row r="55" spans="1:5" ht="12.75">
      <c r="A55" s="28" t="s">
        <v>39</v>
      </c>
      <c r="E55" s="29" t="s">
        <v>36</v>
      </c>
    </row>
    <row r="56" spans="1:5" ht="12.75">
      <c r="A56" s="30" t="s">
        <v>41</v>
      </c>
      <c r="E56" s="31" t="s">
        <v>405</v>
      </c>
    </row>
    <row r="57" spans="1:5" ht="51">
      <c r="A57" t="s">
        <v>43</v>
      </c>
      <c r="E57" s="29" t="s">
        <v>376</v>
      </c>
    </row>
    <row r="58" spans="1:16" ht="12.75">
      <c r="A58" s="19" t="s">
        <v>34</v>
      </c>
      <c s="23" t="s">
        <v>121</v>
      </c>
      <c s="23" t="s">
        <v>409</v>
      </c>
      <c s="19" t="s">
        <v>36</v>
      </c>
      <c s="24" t="s">
        <v>410</v>
      </c>
      <c s="25" t="s">
        <v>379</v>
      </c>
      <c s="26">
        <v>62</v>
      </c>
      <c s="27">
        <v>0</v>
      </c>
      <c s="27">
        <f>ROUND(ROUND(H58,2)*ROUND(G58,3),2)</f>
      </c>
      <c r="O58">
        <f>(I58*21)/100</f>
      </c>
      <c t="s">
        <v>12</v>
      </c>
    </row>
    <row r="59" spans="1:5" ht="12.75">
      <c r="A59" s="28" t="s">
        <v>39</v>
      </c>
      <c r="E59" s="29" t="s">
        <v>36</v>
      </c>
    </row>
    <row r="60" spans="1:5" ht="12.75">
      <c r="A60" s="30" t="s">
        <v>41</v>
      </c>
      <c r="E60" s="31" t="s">
        <v>411</v>
      </c>
    </row>
    <row r="61" spans="1:5" ht="76.5">
      <c r="A61" t="s">
        <v>43</v>
      </c>
      <c r="E61" s="29" t="s">
        <v>402</v>
      </c>
    </row>
  </sheetData>
  <mergeCells count="10">
    <mergeCell ref="C3:D3"/>
    <mergeCell ref="C4:D4"/>
    <mergeCell ref="A5:A6"/>
    <mergeCell ref="B5:B6"/>
    <mergeCell ref="C5:C6"/>
    <mergeCell ref="D5:D6"/>
    <mergeCell ref="E5:E6"/>
    <mergeCell ref="F5:F6"/>
    <mergeCell ref="G5:G6"/>
    <mergeCell ref="H5:I5"/>
  </mergeCells>
  <printOptions/>
  <pageMargins left="0.75" right="0.75" top="1" bottom="1" header="0.5" footer="0.5"/>
  <pageSetup fitToHeight="0" horizontalDpi="300" verticalDpi="300"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